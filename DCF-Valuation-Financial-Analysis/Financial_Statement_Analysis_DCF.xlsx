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el/Desktop/Financial Statement Analysis &amp; DCF Valuation Project/"/>
    </mc:Choice>
  </mc:AlternateContent>
  <xr:revisionPtr revIDLastSave="0" documentId="13_ncr:1_{BB89BC9B-709B-914D-AD8A-9EB892B86CBD}" xr6:coauthVersionLast="47" xr6:coauthVersionMax="47" xr10:uidLastSave="{00000000-0000-0000-0000-000000000000}"/>
  <bookViews>
    <workbookView xWindow="0" yWindow="500" windowWidth="25760" windowHeight="15940" tabRatio="500" xr2:uid="{00000000-000D-0000-FFFF-FFFF00000000}"/>
  </bookViews>
  <sheets>
    <sheet name="Executive_Summary" sheetId="1" r:id="rId1"/>
    <sheet name="Raw_Data" sheetId="2" r:id="rId2"/>
    <sheet name="Historical_Analysis" sheetId="3" r:id="rId3"/>
    <sheet name="Forecast_Model" sheetId="4" r:id="rId4"/>
    <sheet name="WACC_Calculation" sheetId="5" r:id="rId5"/>
    <sheet name="DCF_Valuation" sheetId="6" r:id="rId6"/>
    <sheet name="Sensitivity_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7" l="1"/>
  <c r="B24" i="6"/>
  <c r="B13" i="5"/>
  <c r="B7" i="5"/>
  <c r="B14" i="4"/>
  <c r="C14" i="4" s="1"/>
  <c r="D20" i="3"/>
  <c r="F19" i="3"/>
  <c r="E19" i="3"/>
  <c r="D19" i="3"/>
  <c r="C19" i="3"/>
  <c r="B19" i="3"/>
  <c r="F18" i="3"/>
  <c r="E18" i="3"/>
  <c r="D18" i="3"/>
  <c r="C18" i="3"/>
  <c r="B18" i="3"/>
  <c r="F17" i="3"/>
  <c r="F20" i="3" s="1"/>
  <c r="B19" i="1" s="1"/>
  <c r="E17" i="3"/>
  <c r="E20" i="3" s="1"/>
  <c r="D17" i="3"/>
  <c r="C17" i="3"/>
  <c r="C20" i="3" s="1"/>
  <c r="B17" i="3"/>
  <c r="B20" i="3" s="1"/>
  <c r="F9" i="3"/>
  <c r="E9" i="3"/>
  <c r="D9" i="3"/>
  <c r="C9" i="3"/>
  <c r="B9" i="3"/>
  <c r="E7" i="3"/>
  <c r="F6" i="3"/>
  <c r="E6" i="3"/>
  <c r="D6" i="3"/>
  <c r="C6" i="3"/>
  <c r="F39" i="2"/>
  <c r="B21" i="4" s="1"/>
  <c r="E39" i="2"/>
  <c r="D39" i="2"/>
  <c r="C39" i="2"/>
  <c r="B39" i="2"/>
  <c r="F31" i="2"/>
  <c r="F23" i="3" s="1"/>
  <c r="E31" i="2"/>
  <c r="E24" i="3" s="1"/>
  <c r="D31" i="2"/>
  <c r="D13" i="3" s="1"/>
  <c r="C31" i="2"/>
  <c r="C13" i="3" s="1"/>
  <c r="B31" i="2"/>
  <c r="B23" i="3" s="1"/>
  <c r="F23" i="2"/>
  <c r="E23" i="2"/>
  <c r="E13" i="3" s="1"/>
  <c r="D23" i="2"/>
  <c r="C23" i="2"/>
  <c r="B23" i="2"/>
  <c r="F18" i="2"/>
  <c r="B22" i="6" s="1"/>
  <c r="E18" i="2"/>
  <c r="D18" i="2"/>
  <c r="C18" i="2"/>
  <c r="B18" i="2"/>
  <c r="F15" i="2"/>
  <c r="C15" i="2"/>
  <c r="B15" i="2"/>
  <c r="F14" i="2"/>
  <c r="E14" i="2"/>
  <c r="E15" i="2" s="1"/>
  <c r="D14" i="2"/>
  <c r="D15" i="2" s="1"/>
  <c r="C14" i="2"/>
  <c r="B14" i="2"/>
  <c r="E12" i="2"/>
  <c r="E12" i="3" s="1"/>
  <c r="E14" i="3" s="1"/>
  <c r="D12" i="2"/>
  <c r="F11" i="2"/>
  <c r="E11" i="2"/>
  <c r="D11" i="2"/>
  <c r="C11" i="2"/>
  <c r="B11" i="2"/>
  <c r="F8" i="2"/>
  <c r="F12" i="2" s="1"/>
  <c r="E8" i="2"/>
  <c r="D8" i="2"/>
  <c r="D7" i="3" s="1"/>
  <c r="C8" i="2"/>
  <c r="C12" i="2" s="1"/>
  <c r="B8" i="2"/>
  <c r="B12" i="2" s="1"/>
  <c r="B26" i="1"/>
  <c r="B25" i="1"/>
  <c r="D24" i="1"/>
  <c r="B24" i="1"/>
  <c r="D23" i="1"/>
  <c r="B23" i="1"/>
  <c r="B20" i="1"/>
  <c r="B15" i="1"/>
  <c r="B14" i="1"/>
  <c r="B11" i="1"/>
  <c r="B5" i="1"/>
  <c r="C8" i="3" l="1"/>
  <c r="C12" i="3"/>
  <c r="C14" i="3" s="1"/>
  <c r="D12" i="3"/>
  <c r="D14" i="3" s="1"/>
  <c r="C19" i="4"/>
  <c r="C15" i="4"/>
  <c r="D14" i="4"/>
  <c r="C18" i="4"/>
  <c r="C20" i="4"/>
  <c r="B8" i="3"/>
  <c r="B12" i="3"/>
  <c r="F8" i="3"/>
  <c r="B17" i="1" s="1"/>
  <c r="F12" i="3"/>
  <c r="D8" i="3"/>
  <c r="C23" i="3"/>
  <c r="B24" i="3"/>
  <c r="F24" i="3"/>
  <c r="B19" i="6"/>
  <c r="B7" i="3"/>
  <c r="F7" i="3"/>
  <c r="B16" i="1" s="1"/>
  <c r="E8" i="3"/>
  <c r="B13" i="3"/>
  <c r="F13" i="3"/>
  <c r="D23" i="3"/>
  <c r="C24" i="3"/>
  <c r="B11" i="5"/>
  <c r="B18" i="5"/>
  <c r="B19" i="5" s="1"/>
  <c r="B20" i="6"/>
  <c r="C7" i="3"/>
  <c r="E23" i="3"/>
  <c r="D24" i="3"/>
  <c r="B20" i="5" l="1"/>
  <c r="B12" i="5"/>
  <c r="B14" i="5" s="1"/>
  <c r="F14" i="3"/>
  <c r="B18" i="1" s="1"/>
  <c r="B14" i="3"/>
  <c r="D18" i="4"/>
  <c r="D20" i="4"/>
  <c r="D19" i="4"/>
  <c r="D15" i="4"/>
  <c r="E14" i="4"/>
  <c r="B21" i="5"/>
  <c r="B22" i="5" s="1"/>
  <c r="C16" i="4"/>
  <c r="C17" i="4" s="1"/>
  <c r="C21" i="4" s="1"/>
  <c r="C22" i="4" l="1"/>
  <c r="C4" i="6"/>
  <c r="D16" i="4"/>
  <c r="D17" i="4" s="1"/>
  <c r="D21" i="4" s="1"/>
  <c r="E20" i="4"/>
  <c r="E19" i="4"/>
  <c r="E15" i="4"/>
  <c r="F14" i="4"/>
  <c r="E18" i="4"/>
  <c r="B23" i="5"/>
  <c r="B26" i="5" s="1"/>
  <c r="D4" i="6" l="1"/>
  <c r="D22" i="4"/>
  <c r="E6" i="6"/>
  <c r="D6" i="6"/>
  <c r="G6" i="6"/>
  <c r="C6" i="6"/>
  <c r="B10" i="1"/>
  <c r="B12" i="6"/>
  <c r="F6" i="6"/>
  <c r="F20" i="4"/>
  <c r="F19" i="4"/>
  <c r="F15" i="4"/>
  <c r="G14" i="4"/>
  <c r="F18" i="4"/>
  <c r="C7" i="6"/>
  <c r="E16" i="4"/>
  <c r="E17" i="4" s="1"/>
  <c r="E21" i="4" s="1"/>
  <c r="E4" i="6" l="1"/>
  <c r="E7" i="6" s="1"/>
  <c r="E22" i="4"/>
  <c r="G19" i="4"/>
  <c r="G15" i="4"/>
  <c r="G18" i="4"/>
  <c r="G20" i="4"/>
  <c r="F16" i="4"/>
  <c r="F17" i="4"/>
  <c r="F21" i="4" s="1"/>
  <c r="D7" i="6"/>
  <c r="F4" i="6" l="1"/>
  <c r="F7" i="6" s="1"/>
  <c r="F22" i="4"/>
  <c r="G17" i="4"/>
  <c r="G21" i="4" s="1"/>
  <c r="F6" i="7" s="1"/>
  <c r="G16" i="4"/>
  <c r="E10" i="7"/>
  <c r="C8" i="7"/>
  <c r="D9" i="7"/>
  <c r="E8" i="7"/>
  <c r="D7" i="7"/>
  <c r="F10" i="7" l="1"/>
  <c r="G22" i="4"/>
  <c r="G4" i="6"/>
  <c r="G10" i="7"/>
  <c r="G7" i="7"/>
  <c r="E6" i="7"/>
  <c r="D10" i="7"/>
  <c r="G9" i="7"/>
  <c r="D8" i="7"/>
  <c r="F7" i="7"/>
  <c r="F9" i="7"/>
  <c r="G8" i="7"/>
  <c r="C10" i="7"/>
  <c r="E7" i="7"/>
  <c r="F8" i="7"/>
  <c r="E9" i="7"/>
  <c r="C7" i="7"/>
  <c r="C6" i="7"/>
  <c r="D6" i="7"/>
  <c r="C9" i="7"/>
  <c r="G7" i="6" l="1"/>
  <c r="B10" i="6" s="1"/>
  <c r="B18" i="6" s="1"/>
  <c r="B13" i="6"/>
  <c r="B14" i="6" s="1"/>
  <c r="B8" i="1" l="1"/>
  <c r="B21" i="6"/>
  <c r="B9" i="1" l="1"/>
  <c r="B23" i="6"/>
  <c r="B25" i="6" l="1"/>
  <c r="B7" i="1" s="1"/>
  <c r="B6" i="1"/>
</calcChain>
</file>

<file path=xl/sharedStrings.xml><?xml version="1.0" encoding="utf-8"?>
<sst xmlns="http://schemas.openxmlformats.org/spreadsheetml/2006/main" count="210" uniqueCount="199">
  <si>
    <t>Apple Inc. (AAPL) — DCF Valuation: Executive Summary</t>
  </si>
  <si>
    <t>Fiscal Year End: Late September  |  Valuation Date: Aug 12, 2026  |  Method: 5-Year Unlevered FCFF DCF, Gordon Growth Terminal Value</t>
  </si>
  <si>
    <t>VALUATION SNAPSHOT</t>
  </si>
  <si>
    <t>Current Share Price</t>
  </si>
  <si>
    <t>DCF-Implied Share Price (base case)</t>
  </si>
  <si>
    <t>Implied Upside / (Downside)</t>
  </si>
  <si>
    <t>Enterprise Value ($mm)</t>
  </si>
  <si>
    <t>Equity Value ($mm)</t>
  </si>
  <si>
    <t>WACC</t>
  </si>
  <si>
    <t>Terminal Growth Rate (g)</t>
  </si>
  <si>
    <t>KEY HISTORICAL METRICS (FY2021 -&gt; FY2025)</t>
  </si>
  <si>
    <t>Revenue ($mm)</t>
  </si>
  <si>
    <t>Revenue CAGR (FY21-FY25)</t>
  </si>
  <si>
    <t>Gross Margin (FY2025)</t>
  </si>
  <si>
    <t>Operating Margin (FY2025)</t>
  </si>
  <si>
    <t>ROIC (FY2025)</t>
  </si>
  <si>
    <t>Cash Conversion Cycle (FY2025, days)</t>
  </si>
  <si>
    <t>Free Cash Flow (FY2025, $mm)</t>
  </si>
  <si>
    <t>KEY ASSUMPTIONS DRIVING THE VALUATION</t>
  </si>
  <si>
    <t>Revenue Growth, Yr 1 -&gt; Yr 5</t>
  </si>
  <si>
    <t>-&gt;</t>
  </si>
  <si>
    <t>Operating (EBIT) Margin, Yr 1 -&gt; Yr 5</t>
  </si>
  <si>
    <t>Cost of Equity (Ke)</t>
  </si>
  <si>
    <t>Cost of Debt, after-tax</t>
  </si>
  <si>
    <t>INVESTMENT TAKEAWAYS</t>
  </si>
  <si>
    <t>- Apple has expanded operating margin from 29.8% (FY2021) to 32.0% (FY2025) as higher-margin Services revenue (now ~26% of sales) grows faster than hardware, while structurally negative working capital (CCC of roughly -70 days) means growth is self-funding rather than cash-consuming.</t>
  </si>
  <si>
    <t>- Under this model's base-case assumptions (8%-&gt;4% tapering revenue growth, 32.5%-&gt;34.0% EBIT margin, 9.5% WACC, 2.5% terminal growth), the DCF implies an intrinsic value below the current market price — the model's estimate of standalone unlevered FCFF value does not fully explain AAPL's market capitalization at the current share price.</t>
  </si>
  <si>
    <t>- This is a common pattern in DCFs of mega-cap 'compounders': a large share of market value reflects continued aggressive buybacks (~$97-100bn/year, shrinking the share count ~3-4%/year) compounding EPS per share beyond what an enterprise-level unlevered FCFF DCF captures, plus a scarcity/quality premium the market assigns to Apple's balance sheet and capital-return consistency.</t>
  </si>
  <si>
    <t>- The Sensitivity_Analysis tab shows the valuation is highly sensitive to the (WACC - g) spread: at the low end of the WACC range (7.5%) and high end of terminal growth (4.0%), the implied price rises to the low-$250s; at the high end of WACC (9.5%) and low end of growth (2.0%), it falls to the low-$120s. Users should treat the single-point 'implied share price' as the center of a wide, assumption-dependent range, not a precise target.</t>
  </si>
  <si>
    <t>- This model is for educational/illustrative purposes. It is not investment advice, and every hardcoded input should be re-verified against Apple's most recent 10-K/10-Q and current market data before being relied upon for any investment decision.</t>
  </si>
  <si>
    <t>WORKBOOK MAP</t>
  </si>
  <si>
    <t>Raw_Data</t>
  </si>
  <si>
    <t>FY2021-FY2025 income statement, balance sheet, and cash flow actuals (sourced from Apple's 10-K / StockAnalysis.com).</t>
  </si>
  <si>
    <t>Historical_Analysis</t>
  </si>
  <si>
    <t>Growth, margin, ROIC, and cash-conversion-cycle ratios calculated from Raw_Data.</t>
  </si>
  <si>
    <t>Forecast_Model</t>
  </si>
  <si>
    <t>5-year unlevered FCFF forecast driven by editable assumption cells (yellow).</t>
  </si>
  <si>
    <t>WACC_Calculation</t>
  </si>
  <si>
    <t>Cost of equity (CAPM), cost of debt, capital structure weights, and WACC.</t>
  </si>
  <si>
    <t>DCF_Valuation</t>
  </si>
  <si>
    <t>PV of explicit FCFFs, Gordon Growth terminal value, and the bridge to implied share price.</t>
  </si>
  <si>
    <t>Sensitivity_Analysis</t>
  </si>
  <si>
    <t>Implied share price across a WACC (7.5%-9.5%) x terminal growth (2.0%-4.0%) grid.</t>
  </si>
  <si>
    <t>Executive_Summary</t>
  </si>
  <si>
    <t>This tab — a one-page roll-up of the valuation, key metrics, assumptions, and takeaways.</t>
  </si>
  <si>
    <t>AAPL — Raw Financial Data (Historical, $ in millions)</t>
  </si>
  <si>
    <t>Apple Inc. | Fiscal year ends late September | Source: FY2025 Form 10-K (SEC EDGAR) and StockAnalysis.com (Fiscal.ai), retrieved Aug 12, 2026</t>
  </si>
  <si>
    <t>Line Item ($mm)</t>
  </si>
  <si>
    <t>FY2021</t>
  </si>
  <si>
    <t>FY2022</t>
  </si>
  <si>
    <t>FY2023</t>
  </si>
  <si>
    <t>FY2024</t>
  </si>
  <si>
    <t>FY2025</t>
  </si>
  <si>
    <t>INCOME STATEMENT</t>
  </si>
  <si>
    <t>Revenue, net</t>
  </si>
  <si>
    <t>Cost of Goods Sold (COGS)</t>
  </si>
  <si>
    <t>Gross Profit</t>
  </si>
  <si>
    <t>Research &amp; Development</t>
  </si>
  <si>
    <t>Selling, General &amp; Admin.</t>
  </si>
  <si>
    <t>Total Operating Expenses</t>
  </si>
  <si>
    <t>EBIT (Operating Income)</t>
  </si>
  <si>
    <t>Pretax Income</t>
  </si>
  <si>
    <t>Income Tax Expense</t>
  </si>
  <si>
    <t>Effective Tax Rate</t>
  </si>
  <si>
    <t>Net Income</t>
  </si>
  <si>
    <t>Diluted EPS ($)</t>
  </si>
  <si>
    <t>Diluted Shares Outstanding (mm)</t>
  </si>
  <si>
    <t>BALANCE SHEET</t>
  </si>
  <si>
    <t>Cash &amp; Cash Equivalents</t>
  </si>
  <si>
    <t>Short-Term Investments</t>
  </si>
  <si>
    <t>Cash &amp; Investments (Total)</t>
  </si>
  <si>
    <t>Accounts Receivable, net</t>
  </si>
  <si>
    <t>Inventory</t>
  </si>
  <si>
    <t>Total Current Assets</t>
  </si>
  <si>
    <t>Total Assets</t>
  </si>
  <si>
    <t>Accounts Payable</t>
  </si>
  <si>
    <t>Short-Term Debt (incl. current LTD)</t>
  </si>
  <si>
    <t>Long-Term Debt</t>
  </si>
  <si>
    <t>Total Debt</t>
  </si>
  <si>
    <t>Total Liabilities</t>
  </si>
  <si>
    <t>Total Shareholders' Equity</t>
  </si>
  <si>
    <t>CASH FLOW STATEMENT</t>
  </si>
  <si>
    <t>Cash Flow from Operations (OCF)</t>
  </si>
  <si>
    <t>Depreciation &amp; Amortization</t>
  </si>
  <si>
    <t>Capital Expenditures (CapEx)</t>
  </si>
  <si>
    <t>Free Cash Flow (OCF - CapEx)</t>
  </si>
  <si>
    <t>Dividends Paid</t>
  </si>
  <si>
    <t>Share Repurchases (Buybacks)</t>
  </si>
  <si>
    <t>Sources: Revenue/COGS/Opex/Pretax Income/Net Income/EPS/Balance Sheet/Cash Flow figures — Apple Inc. FY2025 Form 10-K (SEC EDGAR, CIK 0000320193) and StockAnalysis.com (data provider: Fiscal.ai), retrieved Aug 12, 2026: https://stockanalysis.com/stocks/aapl/financials/ . Gross Profit, Total OpEx, EBIT, Tax Expense, Effective Tax Rate, Diluted Shares, Cash &amp; Investments, Total Debt, and Free Cash Flow are calculated in-sheet (black font). Blue cells are hardcoded historical inputs; update them each year from the new 10-K to refresh the entire model.</t>
  </si>
  <si>
    <t>AAPL — Historical Ratio &amp; Efficiency Analysis</t>
  </si>
  <si>
    <t>All figures calculated from Raw_Data tab (green = cross-sheet link, black = in-sheet formula)</t>
  </si>
  <si>
    <t>Metric</t>
  </si>
  <si>
    <t>GROWTH &amp; PROFITABILITY</t>
  </si>
  <si>
    <t>Revenue Growth %</t>
  </si>
  <si>
    <t>n/a (base yr)</t>
  </si>
  <si>
    <t>Gross Margin %</t>
  </si>
  <si>
    <t>Operating Margin % (EBIT Margin)</t>
  </si>
  <si>
    <t>Net Margin %</t>
  </si>
  <si>
    <t>RETURNS: ROIC</t>
  </si>
  <si>
    <t>NOPAT = EBIT x (1 - Tax Rate)</t>
  </si>
  <si>
    <t>Invested Capital = Total Debt + Equity - Cash</t>
  </si>
  <si>
    <t>ROIC = NOPAT / Invested Capital</t>
  </si>
  <si>
    <t>Apple's invested capital is often small or negative (net cash position + buybacks reducing equity), which can make ROIC very large or not economically meaningful — read alongside operating margin trends, not in isolation.</t>
  </si>
  <si>
    <t>CASH CONVERSION CYCLE (WORKING CAPITAL EFFICIENCY)</t>
  </si>
  <si>
    <t>DSO = Accounts Receivable / Revenue x 365</t>
  </si>
  <si>
    <t>DIO = Inventory / COGS x 365</t>
  </si>
  <si>
    <t>DPO = Accounts Payable / COGS x 365</t>
  </si>
  <si>
    <t>Cash Conversion Cycle (CCC) = DSO + DIO - DPO</t>
  </si>
  <si>
    <t>Apple runs a structurally negative CCC: suppliers (via Accounts Payable / DPO) effectively finance its inventory and receivables, so cash is collected before it is paid out — a hallmark of Apple's supply-chain bargaining power.</t>
  </si>
  <si>
    <t>LEVERAGE &amp; LIQUIDITY</t>
  </si>
  <si>
    <t>Net Debt (Cash) = Total Debt - Cash &amp; Investments</t>
  </si>
  <si>
    <t>Total Debt / Equity</t>
  </si>
  <si>
    <t>All ratios recalculate automatically from Raw_Data. To refresh with a new fiscal year: (1) add the new year's actuals to Raw_Data, (2) extend the column ranges on this tab and the Forecast_Model tab, (3) re-run the workbook's recalculation.</t>
  </si>
  <si>
    <t>AAPL — 5-Year Unlevered Free Cash Flow (FCFF) Forecast</t>
  </si>
  <si>
    <t>Yellow = key assumption inputs (edit these to run scenarios). FCFF = EBIT x (1 - Tax Rate) + D&amp;A - CapEx - Change in NWC</t>
  </si>
  <si>
    <t>Driver / Line Item</t>
  </si>
  <si>
    <t>FY2025A</t>
  </si>
  <si>
    <t>Year 1 (FY2026E)</t>
  </si>
  <si>
    <t>Year 2 (FY2027E)</t>
  </si>
  <si>
    <t>Year 3 (FY2028E)</t>
  </si>
  <si>
    <t>Year 4 (FY2029E)</t>
  </si>
  <si>
    <t>Year 5 (FY2030E)</t>
  </si>
  <si>
    <t>OPERATING ASSUMPTIONS (edit yellow cells to run scenarios)</t>
  </si>
  <si>
    <t>Operating (EBIT) Margin %</t>
  </si>
  <si>
    <t>Cash Tax Rate %</t>
  </si>
  <si>
    <t>D&amp;A % of Revenue</t>
  </si>
  <si>
    <t>CapEx % of Revenue</t>
  </si>
  <si>
    <t>NWC % of Revenue (Chg. in NWC = %  x  Chg. in Revenue)</t>
  </si>
  <si>
    <t>Assumptions (blue/yellow): revenue growth tapering 8%→4% reflects Services mix-shift plus an AI-driven iPhone upgrade cycle, moderating toward GDP+ long-run growth; EBIT margin expanding 32.5%→34.0% continues the FY2021-FY2025 trend (29.8%→32.0%) as Services (higher-margin) grows faster than hardware; cash tax rate of 16.0% approximates AAPL's FY2021-FY2023/FY2025 average effective rate (13-16%), excluding the one-off FY2024 EU State Aid charge; D&amp;A and CapEx held near their FY2025 ratios of 2.8% and 3.1% of revenue; NWC ratio of -5.8% of revenue matches FY2025 (Apple has structurally negative working capital, so revenue growth is a modest source of cash, not a use). These are illustrative, editable inputs — not analyst consensus forecasts.</t>
  </si>
  <si>
    <t>FCFF BUILD</t>
  </si>
  <si>
    <t>Revenue</t>
  </si>
  <si>
    <t>EBIT</t>
  </si>
  <si>
    <t>Less: Tax on EBIT</t>
  </si>
  <si>
    <t>Plus: D&amp;A</t>
  </si>
  <si>
    <t>Less: CapEx</t>
  </si>
  <si>
    <t>Less: Change in NWC</t>
  </si>
  <si>
    <t>Unlevered FCFF</t>
  </si>
  <si>
    <t>FCFF Growth %</t>
  </si>
  <si>
    <t>FCFF Year 1 base (FY2025 Revenue) links to Raw_Data (green). Every driver row is a labeled, editable assumption — change any yellow cell and the entire FCFF build, the DCF_Valuation tab, and the Sensitivity_Analysis tab recalculate automatically.</t>
  </si>
  <si>
    <t>AAPL — Weighted Average Cost of Capital (WACC)</t>
  </si>
  <si>
    <t>COST OF EQUITY (CAPM)</t>
  </si>
  <si>
    <t>Risk-Free Rate (Rf) — 10Y U.S. Treasury yield</t>
  </si>
  <si>
    <t>Rf, Beta and ERP are the model's key market-risk assumptions (blue/yellow, editable). Rf approximates the 10Y U.S. Treasury yield; Beta of 1.08 and ERP of 5.0% are standard reference-level inputs for a large-cap U.S. tech name. Update these periodically from a market-data source (e.g., Treasury.gov for Rf; Bloomberg/Damodaran for beta and ERP).</t>
  </si>
  <si>
    <t>Beta (β) — levered, vs. S&amp;P 500</t>
  </si>
  <si>
    <t>Equity Risk Premium (ERP)</t>
  </si>
  <si>
    <t>Cost of Equity: Ke = Rf + β x ERP</t>
  </si>
  <si>
    <t>COST OF DEBT</t>
  </si>
  <si>
    <t>Estimated Annual Interest Expense on Debt ($mm)</t>
  </si>
  <si>
    <t>Apple does not disclose a single 'interest expense' line on the income statement (it nets interest income/expense within Other Income/(Expense)). $1,500mm is a documented estimate consistent with public disclosures of Apple's outstanding term debt and coupon schedule (Apple 10-K Note on Debt; quarterly interest-expense-on-debt trackers such as Trading Economics show ~$300-450mm/quarter through FY2025). Adjust this blue cell if you have a more precise figure.</t>
  </si>
  <si>
    <t>Total Debt (FY2025, from Raw_Data)</t>
  </si>
  <si>
    <t>Pretax Cost of Debt: Kd = Interest Expense / Total Debt</t>
  </si>
  <si>
    <t>Marginal Tax Rate (t), linked to Forecast_Model</t>
  </si>
  <si>
    <t>After-Tax Cost of Debt: Kd x (1 - t)</t>
  </si>
  <si>
    <t>CAPITAL STRUCTURE (MARKET VALUES)</t>
  </si>
  <si>
    <t>Current Share Price ($)</t>
  </si>
  <si>
    <t>Share price is a point-in-time market input — StockAnalysis.com quote, Aug 12, 2026 (intraday). Market value of debt is approximated by book value of total debt, a standard simplification since Apple's bonds trade close to par given its AA+ credit rating.</t>
  </si>
  <si>
    <t>Diluted Shares Outstanding (mm), FY2025</t>
  </si>
  <si>
    <t>Market Value of Equity (E) = Price x Diluted Shares</t>
  </si>
  <si>
    <t>Market Value of Debt (D) ≈ Book Value of Total Debt</t>
  </si>
  <si>
    <t>Total Capital (V) = E + D</t>
  </si>
  <si>
    <t>Weight of Equity (E / V)</t>
  </si>
  <si>
    <t>Weight of Debt (D / V)</t>
  </si>
  <si>
    <t>WACC = (E/V x Ke) + (D/V x Kd x (1 - t))</t>
  </si>
  <si>
    <t>Because Apple carries very little leverage relative to its market capitalization (D/V is typically under 3%), WACC sits close to the pure cost of equity. This is a standard, expected result for a mega-cap, investment-grade technology company.</t>
  </si>
  <si>
    <t>AAPL — DCF Valuation Bridge: Enterprise Value to Implied Share Price</t>
  </si>
  <si>
    <t>Year</t>
  </si>
  <si>
    <t>Year 1</t>
  </si>
  <si>
    <t>Year 2</t>
  </si>
  <si>
    <t>Year 3</t>
  </si>
  <si>
    <t>Year 4</t>
  </si>
  <si>
    <t>Year 5</t>
  </si>
  <si>
    <t>Unlevered FCFF (from Forecast_Model)</t>
  </si>
  <si>
    <t>Discount Period (t)</t>
  </si>
  <si>
    <t>Discount Factor = 1 / (1 + WACC)^t</t>
  </si>
  <si>
    <t>PV of FCFF</t>
  </si>
  <si>
    <t>EXPLICIT PERIOD &amp; TERMINAL VALUE</t>
  </si>
  <si>
    <t>Sum of PV of Explicit FCFFs (Years 1-5)</t>
  </si>
  <si>
    <t>Terminal growth rate of 2.5% sits mid-range of the Sensitivity_Analysis grid (2.0%-4.0%) and approximates long-run nominal GDP growth — a standard, conservative anchor for a Gordon Growth terminal value so the terminal period doesn't assume perpetual above-GDP growth.</t>
  </si>
  <si>
    <t>WACC (from WACC_Calculation)</t>
  </si>
  <si>
    <t>Terminal Value = FCFF5 x (1+g) / (WACC - g)</t>
  </si>
  <si>
    <t>PV of Terminal Value = TV / (1 + WACC)^5</t>
  </si>
  <si>
    <t>ENTERPRISE VALUE TO SHARE PRICE BRIDGE</t>
  </si>
  <si>
    <t>Enterprise Value (EV) = PV of Explicit FCFs + PV of Terminal Value</t>
  </si>
  <si>
    <t>Plus: Cash &amp; Investments (FY2025)</t>
  </si>
  <si>
    <t>Less: Total Debt (FY2025)</t>
  </si>
  <si>
    <t>Equity Value = EV + Cash - Total Debt</t>
  </si>
  <si>
    <t>Implied Share Price = Equity Value / Diluted Shares</t>
  </si>
  <si>
    <t>Current Share Price (from WACC_Calculation)</t>
  </si>
  <si>
    <t>Implied Upside / (Downside) vs. Current Price</t>
  </si>
  <si>
    <t>This DCF bridge is fully dynamic: it flows from Forecast_Model's FCFF (green links), discounts at the WACC computed on WACC_Calculation, and nets FY2025 cash/debt and diluted shares from Raw_Data. Change any assumption anywhere in the workbook and every number here — including the implied share price — recalculates.</t>
  </si>
  <si>
    <t>AAPL — Sensitivity Analysis: Implied Share Price by WACC and Terminal Growth</t>
  </si>
  <si>
    <t>Note: this grid uses live formulas (not Excel's What-If 'Data Table' feature, which requires manual recalculation and isn't portable across spreadsheet engines) — every cell independently rebuilds the full DCF bridge for its own WACC/g pair, so it recalculates automatically like the rest of the model.</t>
  </si>
  <si>
    <t>Implied Share Price ($)</t>
  </si>
  <si>
    <t>WACC \ Terminal Growth (g) -&gt;</t>
  </si>
  <si>
    <t>Rows = WACC (7.5% to 9.5% in 0.5% steps); Columns = Terminal Growth Rate g (2.0% to 4.0% in 0.5% steps), matching the ranges specified in the model brief. Each cell independently recomputes: PV of Years 1-5 FCFF (pulled live from Forecast_Model) + PV of Terminal Value (Gordon Growth) at that cell's WACC/g, then bridges to equity value using FY2025 Cash and Total Debt and Diluted Shares from Raw_Data, exactly as in DCF_Valuation. The DCF_Valuation tab's own WACC (~9.5%, from WACC_Calculation) and default g (2.5%) sit near the bottom-right of this grid, for reference.</t>
  </si>
  <si>
    <t>How to read this table:</t>
  </si>
  <si>
    <t>- Moving right (higher g) increases the implied share price — a higher terminal growth assumption raises the perpetuity value.</t>
  </si>
  <si>
    <t>- Moving down (higher WACC) decreases the implied share price — a higher discount rate reduces the present value of future cash flows.</t>
  </si>
  <si>
    <t>- The (WACC - g) spread in the denominator of the Terminal Value formula means the grid gets increasingly sensitive as WACC approaches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</si>
</sst>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;&quot;($&quot;#,##0.00\);\-"/>
    <numFmt numFmtId="165" formatCode="0.0%;\(0.0%\);\-"/>
    <numFmt numFmtId="166" formatCode="#,##0;\(#,##0\);\-"/>
    <numFmt numFmtId="167" formatCode="0.00%;\(0.00%\);\-"/>
    <numFmt numFmtId="168" formatCode="#,##0.0&quot; days&quot;"/>
    <numFmt numFmtId="169" formatCode="#,##0.0;\(#,##0.0\);\-"/>
    <numFmt numFmtId="170" formatCode="0.0\x"/>
    <numFmt numFmtId="171" formatCode="0.00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8"/>
      <color rgb="FF8080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1"/>
      <color rgb="FF1F4E78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3"/>
      <color rgb="FF1F4E7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C6E0B4"/>
        <bgColor rgb="FFD9E1F2"/>
      </patternFill>
    </fill>
    <fill>
      <patternFill patternType="solid">
        <fgColor rgb="FFD9E1F2"/>
        <bgColor rgb="FFC6E0B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indent="1"/>
    </xf>
    <xf numFmtId="164" fontId="5" fillId="0" borderId="0" xfId="0" applyNumberFormat="1" applyFont="1"/>
    <xf numFmtId="164" fontId="6" fillId="4" borderId="0" xfId="0" applyNumberFormat="1" applyFont="1" applyFill="1"/>
    <xf numFmtId="165" fontId="6" fillId="4" borderId="0" xfId="0" applyNumberFormat="1" applyFont="1" applyFill="1"/>
    <xf numFmtId="166" fontId="5" fillId="0" borderId="0" xfId="0" applyNumberFormat="1" applyFont="1"/>
    <xf numFmtId="167" fontId="5" fillId="0" borderId="0" xfId="0" applyNumberFormat="1" applyFont="1"/>
    <xf numFmtId="165" fontId="5" fillId="0" borderId="0" xfId="0" applyNumberFormat="1" applyFont="1"/>
    <xf numFmtId="168" fontId="5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indent="1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66" fontId="9" fillId="0" borderId="0" xfId="0" applyNumberFormat="1" applyFont="1"/>
    <xf numFmtId="166" fontId="10" fillId="0" borderId="0" xfId="0" applyNumberFormat="1" applyFont="1"/>
    <xf numFmtId="166" fontId="11" fillId="5" borderId="0" xfId="0" applyNumberFormat="1" applyFont="1" applyFill="1"/>
    <xf numFmtId="0" fontId="12" fillId="0" borderId="0" xfId="0" applyFont="1" applyAlignment="1">
      <alignment horizontal="left" indent="1"/>
    </xf>
    <xf numFmtId="165" fontId="10" fillId="0" borderId="0" xfId="0" applyNumberFormat="1" applyFont="1"/>
    <xf numFmtId="164" fontId="9" fillId="0" borderId="0" xfId="0" applyNumberFormat="1" applyFont="1"/>
    <xf numFmtId="169" fontId="10" fillId="0" borderId="0" xfId="0" applyNumberFormat="1" applyFont="1"/>
    <xf numFmtId="166" fontId="11" fillId="0" borderId="0" xfId="0" applyNumberFormat="1" applyFont="1"/>
    <xf numFmtId="0" fontId="2" fillId="0" borderId="0" xfId="0" applyFont="1" applyAlignment="1">
      <alignment horizontal="center"/>
    </xf>
    <xf numFmtId="165" fontId="11" fillId="5" borderId="0" xfId="0" applyNumberFormat="1" applyFont="1" applyFill="1"/>
    <xf numFmtId="168" fontId="11" fillId="5" borderId="0" xfId="0" applyNumberFormat="1" applyFont="1" applyFill="1"/>
    <xf numFmtId="170" fontId="5" fillId="0" borderId="0" xfId="0" applyNumberFormat="1" applyFont="1"/>
    <xf numFmtId="0" fontId="8" fillId="2" borderId="0" xfId="0" applyFont="1" applyFill="1" applyAlignment="1">
      <alignment horizontal="center" wrapText="1"/>
    </xf>
    <xf numFmtId="165" fontId="9" fillId="6" borderId="0" xfId="0" applyNumberFormat="1" applyFont="1" applyFill="1"/>
    <xf numFmtId="166" fontId="11" fillId="4" borderId="1" xfId="0" applyNumberFormat="1" applyFont="1" applyFill="1" applyBorder="1"/>
    <xf numFmtId="167" fontId="9" fillId="6" borderId="0" xfId="0" applyNumberFormat="1" applyFont="1" applyFill="1"/>
    <xf numFmtId="2" fontId="9" fillId="6" borderId="0" xfId="0" applyNumberFormat="1" applyFont="1" applyFill="1"/>
    <xf numFmtId="167" fontId="11" fillId="5" borderId="0" xfId="0" applyNumberFormat="1" applyFont="1" applyFill="1"/>
    <xf numFmtId="166" fontId="9" fillId="6" borderId="0" xfId="0" applyNumberFormat="1" applyFont="1" applyFill="1"/>
    <xf numFmtId="164" fontId="9" fillId="6" borderId="0" xfId="0" applyNumberFormat="1" applyFont="1" applyFill="1"/>
    <xf numFmtId="169" fontId="5" fillId="0" borderId="0" xfId="0" applyNumberFormat="1" applyFont="1"/>
    <xf numFmtId="167" fontId="13" fillId="4" borderId="1" xfId="0" applyNumberFormat="1" applyFont="1" applyFill="1" applyBorder="1"/>
    <xf numFmtId="0" fontId="10" fillId="0" borderId="0" xfId="0" applyFont="1" applyAlignment="1">
      <alignment horizontal="center"/>
    </xf>
    <xf numFmtId="171" fontId="5" fillId="0" borderId="0" xfId="0" applyNumberFormat="1" applyFont="1"/>
    <xf numFmtId="166" fontId="14" fillId="4" borderId="1" xfId="0" applyNumberFormat="1" applyFont="1" applyFill="1" applyBorder="1"/>
    <xf numFmtId="164" fontId="15" fillId="4" borderId="2" xfId="0" applyNumberFormat="1" applyFont="1" applyFill="1" applyBorder="1"/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165" fontId="11" fillId="5" borderId="0" xfId="0" applyNumberFormat="1" applyFont="1" applyFill="1" applyAlignment="1">
      <alignment horizontal="center"/>
    </xf>
    <xf numFmtId="164" fontId="1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F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E42"/>
  <sheetViews>
    <sheetView showGridLines="0" tabSelected="1" topLeftCell="A6" zoomScaleNormal="100" workbookViewId="0">
      <selection sqref="A1:E1"/>
    </sheetView>
  </sheetViews>
  <sheetFormatPr baseColWidth="10" defaultColWidth="8.6640625" defaultRowHeight="15" x14ac:dyDescent="0.2"/>
  <cols>
    <col min="1" max="1" width="34" customWidth="1"/>
    <col min="2" max="2" width="20" customWidth="1"/>
    <col min="3" max="3" width="3" customWidth="1"/>
    <col min="4" max="4" width="34" customWidth="1"/>
    <col min="5" max="5" width="20" customWidth="1"/>
  </cols>
  <sheetData>
    <row r="1" spans="1:5" ht="25.5" customHeight="1" x14ac:dyDescent="0.2">
      <c r="A1" s="4" t="s">
        <v>0</v>
      </c>
      <c r="B1" s="4"/>
      <c r="C1" s="4"/>
      <c r="D1" s="4"/>
      <c r="E1" s="4"/>
    </row>
    <row r="2" spans="1:5" x14ac:dyDescent="0.2">
      <c r="A2" s="3" t="s">
        <v>1</v>
      </c>
      <c r="B2" s="3"/>
      <c r="C2" s="3"/>
      <c r="D2" s="3"/>
      <c r="E2" s="3"/>
    </row>
    <row r="4" spans="1:5" x14ac:dyDescent="0.2">
      <c r="A4" s="2" t="s">
        <v>2</v>
      </c>
      <c r="B4" s="2"/>
      <c r="C4" s="2"/>
      <c r="D4" s="2"/>
      <c r="E4" s="2"/>
    </row>
    <row r="5" spans="1:5" x14ac:dyDescent="0.2">
      <c r="A5" s="5" t="s">
        <v>3</v>
      </c>
      <c r="B5" s="6">
        <f>WACC_Calculation!B17</f>
        <v>301.58</v>
      </c>
    </row>
    <row r="6" spans="1:5" x14ac:dyDescent="0.2">
      <c r="A6" s="5" t="s">
        <v>4</v>
      </c>
      <c r="B6" s="7">
        <f>DCF_Valuation!B23</f>
        <v>131.7211389949442</v>
      </c>
    </row>
    <row r="7" spans="1:5" x14ac:dyDescent="0.2">
      <c r="A7" s="5" t="s">
        <v>5</v>
      </c>
      <c r="B7" s="8">
        <f>DCF_Valuation!B25</f>
        <v>-0.56322985942388692</v>
      </c>
    </row>
    <row r="8" spans="1:5" x14ac:dyDescent="0.2">
      <c r="A8" s="5" t="s">
        <v>6</v>
      </c>
      <c r="B8" s="9">
        <f>DCF_Valuation!B18</f>
        <v>2021719.3537297186</v>
      </c>
    </row>
    <row r="9" spans="1:5" x14ac:dyDescent="0.2">
      <c r="A9" s="5" t="s">
        <v>7</v>
      </c>
      <c r="B9" s="9">
        <f>DCF_Valuation!B21</f>
        <v>1977759.3537297186</v>
      </c>
    </row>
    <row r="10" spans="1:5" x14ac:dyDescent="0.2">
      <c r="A10" s="5" t="s">
        <v>8</v>
      </c>
      <c r="B10" s="10">
        <f>WACC_Calculation!B26</f>
        <v>9.4714663794653195E-2</v>
      </c>
    </row>
    <row r="11" spans="1:5" x14ac:dyDescent="0.2">
      <c r="A11" s="5" t="s">
        <v>9</v>
      </c>
      <c r="B11" s="10">
        <f>DCF_Valuation!B11</f>
        <v>2.5000000000000001E-2</v>
      </c>
    </row>
    <row r="13" spans="1:5" x14ac:dyDescent="0.2">
      <c r="A13" s="2" t="s">
        <v>10</v>
      </c>
      <c r="B13" s="2"/>
      <c r="C13" s="2"/>
      <c r="D13" s="2"/>
      <c r="E13" s="2"/>
    </row>
    <row r="14" spans="1:5" x14ac:dyDescent="0.2">
      <c r="A14" s="5" t="s">
        <v>11</v>
      </c>
      <c r="B14" s="9">
        <f>Raw_Data!F6</f>
        <v>416161</v>
      </c>
    </row>
    <row r="15" spans="1:5" x14ac:dyDescent="0.2">
      <c r="A15" s="5" t="s">
        <v>12</v>
      </c>
      <c r="B15" s="11">
        <f>(Raw_Data!F6/Raw_Data!B6)^(1/4)-1</f>
        <v>3.275991627577457E-2</v>
      </c>
    </row>
    <row r="16" spans="1:5" x14ac:dyDescent="0.2">
      <c r="A16" s="5" t="s">
        <v>13</v>
      </c>
      <c r="B16" s="11">
        <f>Historical_Analysis!F7</f>
        <v>0.46905164107160452</v>
      </c>
    </row>
    <row r="17" spans="1:5" x14ac:dyDescent="0.2">
      <c r="A17" s="5" t="s">
        <v>14</v>
      </c>
      <c r="B17" s="11">
        <f>Historical_Analysis!F8</f>
        <v>0.31970799762591884</v>
      </c>
    </row>
    <row r="18" spans="1:5" x14ac:dyDescent="0.2">
      <c r="A18" s="5" t="s">
        <v>15</v>
      </c>
      <c r="B18" s="11">
        <f>Historical_Analysis!F14</f>
        <v>0.95441771880553117</v>
      </c>
    </row>
    <row r="19" spans="1:5" x14ac:dyDescent="0.2">
      <c r="A19" s="5" t="s">
        <v>16</v>
      </c>
      <c r="B19" s="12">
        <f>Historical_Analysis!F20</f>
        <v>-71.06806888722123</v>
      </c>
    </row>
    <row r="20" spans="1:5" x14ac:dyDescent="0.2">
      <c r="A20" s="5" t="s">
        <v>17</v>
      </c>
      <c r="B20" s="9">
        <f>Raw_Data!F39</f>
        <v>98767</v>
      </c>
    </row>
    <row r="22" spans="1:5" x14ac:dyDescent="0.2">
      <c r="A22" s="2" t="s">
        <v>18</v>
      </c>
      <c r="B22" s="2"/>
      <c r="C22" s="2"/>
      <c r="D22" s="2"/>
      <c r="E22" s="2"/>
    </row>
    <row r="23" spans="1:5" x14ac:dyDescent="0.2">
      <c r="A23" s="5" t="s">
        <v>19</v>
      </c>
      <c r="B23" s="10">
        <f>Forecast_Model!C6</f>
        <v>0.08</v>
      </c>
      <c r="C23" s="13" t="s">
        <v>20</v>
      </c>
      <c r="D23" s="11">
        <f>Forecast_Model!G6</f>
        <v>0.04</v>
      </c>
    </row>
    <row r="24" spans="1:5" x14ac:dyDescent="0.2">
      <c r="A24" s="5" t="s">
        <v>21</v>
      </c>
      <c r="B24" s="10">
        <f>Forecast_Model!C7</f>
        <v>0.32500000000000001</v>
      </c>
      <c r="C24" s="13" t="s">
        <v>20</v>
      </c>
      <c r="D24" s="11">
        <f>Forecast_Model!G7</f>
        <v>0.34</v>
      </c>
    </row>
    <row r="25" spans="1:5" x14ac:dyDescent="0.2">
      <c r="A25" s="5" t="s">
        <v>22</v>
      </c>
      <c r="B25" s="10">
        <f>WACC_Calculation!C7</f>
        <v>0</v>
      </c>
      <c r="C25" s="13"/>
    </row>
    <row r="26" spans="1:5" x14ac:dyDescent="0.2">
      <c r="A26" s="5" t="s">
        <v>23</v>
      </c>
      <c r="B26" s="10">
        <f>WACC_Calculation!C14</f>
        <v>0</v>
      </c>
      <c r="C26" s="13"/>
    </row>
    <row r="28" spans="1:5" x14ac:dyDescent="0.2">
      <c r="A28" s="2" t="s">
        <v>24</v>
      </c>
      <c r="B28" s="2"/>
      <c r="C28" s="2"/>
      <c r="D28" s="2"/>
      <c r="E28" s="2"/>
    </row>
    <row r="29" spans="1:5" ht="43.5" customHeight="1" x14ac:dyDescent="0.2">
      <c r="A29" s="1" t="s">
        <v>25</v>
      </c>
      <c r="B29" s="1"/>
      <c r="C29" s="1"/>
      <c r="D29" s="1"/>
      <c r="E29" s="1"/>
    </row>
    <row r="30" spans="1:5" ht="43.5" customHeight="1" x14ac:dyDescent="0.2">
      <c r="A30" s="1" t="s">
        <v>26</v>
      </c>
      <c r="B30" s="1"/>
      <c r="C30" s="1"/>
      <c r="D30" s="1"/>
      <c r="E30" s="1"/>
    </row>
    <row r="31" spans="1:5" ht="43.5" customHeight="1" x14ac:dyDescent="0.2">
      <c r="A31" s="1" t="s">
        <v>27</v>
      </c>
      <c r="B31" s="1"/>
      <c r="C31" s="1"/>
      <c r="D31" s="1"/>
      <c r="E31" s="1"/>
    </row>
    <row r="32" spans="1:5" ht="43.5" customHeight="1" x14ac:dyDescent="0.2">
      <c r="A32" s="1" t="s">
        <v>28</v>
      </c>
      <c r="B32" s="1"/>
      <c r="C32" s="1"/>
      <c r="D32" s="1"/>
      <c r="E32" s="1"/>
    </row>
    <row r="33" spans="1:5" ht="43.5" customHeight="1" x14ac:dyDescent="0.2">
      <c r="A33" s="1" t="s">
        <v>29</v>
      </c>
      <c r="B33" s="1"/>
      <c r="C33" s="1"/>
      <c r="D33" s="1"/>
      <c r="E33" s="1"/>
    </row>
    <row r="35" spans="1:5" x14ac:dyDescent="0.2">
      <c r="A35" s="2" t="s">
        <v>30</v>
      </c>
      <c r="B35" s="2"/>
      <c r="C35" s="2"/>
      <c r="D35" s="2"/>
      <c r="E35" s="2"/>
    </row>
    <row r="36" spans="1:5" ht="19.5" customHeight="1" x14ac:dyDescent="0.2">
      <c r="A36" s="15" t="s">
        <v>31</v>
      </c>
      <c r="B36" s="1" t="s">
        <v>32</v>
      </c>
      <c r="C36" s="1"/>
      <c r="D36" s="1"/>
      <c r="E36" s="1"/>
    </row>
    <row r="37" spans="1:5" ht="15" customHeight="1" x14ac:dyDescent="0.2">
      <c r="A37" s="15" t="s">
        <v>33</v>
      </c>
      <c r="B37" s="1" t="s">
        <v>34</v>
      </c>
      <c r="C37" s="1"/>
      <c r="D37" s="1"/>
      <c r="E37" s="1"/>
    </row>
    <row r="38" spans="1:5" ht="15" customHeight="1" x14ac:dyDescent="0.2">
      <c r="A38" s="15" t="s">
        <v>35</v>
      </c>
      <c r="B38" s="1" t="s">
        <v>36</v>
      </c>
      <c r="C38" s="1"/>
      <c r="D38" s="1"/>
      <c r="E38" s="1"/>
    </row>
    <row r="39" spans="1:5" ht="15" customHeight="1" x14ac:dyDescent="0.2">
      <c r="A39" s="15" t="s">
        <v>37</v>
      </c>
      <c r="B39" s="1" t="s">
        <v>38</v>
      </c>
      <c r="C39" s="1"/>
      <c r="D39" s="1"/>
      <c r="E39" s="1"/>
    </row>
    <row r="40" spans="1:5" ht="15" customHeight="1" x14ac:dyDescent="0.2">
      <c r="A40" s="15" t="s">
        <v>39</v>
      </c>
      <c r="B40" s="1" t="s">
        <v>40</v>
      </c>
      <c r="C40" s="1"/>
      <c r="D40" s="1"/>
      <c r="E40" s="1"/>
    </row>
    <row r="41" spans="1:5" ht="15" customHeight="1" x14ac:dyDescent="0.2">
      <c r="A41" s="15" t="s">
        <v>41</v>
      </c>
      <c r="B41" s="1" t="s">
        <v>42</v>
      </c>
      <c r="C41" s="1"/>
      <c r="D41" s="1"/>
      <c r="E41" s="1"/>
    </row>
    <row r="42" spans="1:5" ht="15" customHeight="1" x14ac:dyDescent="0.2">
      <c r="A42" s="15" t="s">
        <v>43</v>
      </c>
      <c r="B42" s="1" t="s">
        <v>44</v>
      </c>
      <c r="C42" s="1"/>
      <c r="D42" s="1"/>
      <c r="E42" s="1"/>
    </row>
  </sheetData>
  <mergeCells count="19">
    <mergeCell ref="B39:E39"/>
    <mergeCell ref="B40:E40"/>
    <mergeCell ref="B41:E41"/>
    <mergeCell ref="B42:E42"/>
    <mergeCell ref="A33:E33"/>
    <mergeCell ref="A35:E35"/>
    <mergeCell ref="B36:E36"/>
    <mergeCell ref="B37:E37"/>
    <mergeCell ref="B38:E38"/>
    <mergeCell ref="A28:E28"/>
    <mergeCell ref="A29:E29"/>
    <mergeCell ref="A30:E30"/>
    <mergeCell ref="A31:E31"/>
    <mergeCell ref="A32:E32"/>
    <mergeCell ref="A1:E1"/>
    <mergeCell ref="A2:E2"/>
    <mergeCell ref="A4:E4"/>
    <mergeCell ref="A13:E13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G43"/>
  <sheetViews>
    <sheetView showGridLines="0" zoomScaleNormal="100" workbookViewId="0">
      <pane xSplit="1" ySplit="4" topLeftCell="B36" activePane="bottomRight" state="frozen"/>
      <selection pane="topRight" activeCell="B1" sqref="B1"/>
      <selection pane="bottomLeft" activeCell="A5" sqref="A5"/>
      <selection pane="bottomRight" activeCell="C6" sqref="C6"/>
    </sheetView>
  </sheetViews>
  <sheetFormatPr baseColWidth="10" defaultColWidth="8.6640625" defaultRowHeight="15" x14ac:dyDescent="0.2"/>
  <cols>
    <col min="1" max="1" width="38" customWidth="1"/>
    <col min="2" max="6" width="13" customWidth="1"/>
    <col min="7" max="7" width="3" customWidth="1"/>
    <col min="8" max="8" width="55" customWidth="1"/>
  </cols>
  <sheetData>
    <row r="1" spans="1:7" ht="21.75" customHeight="1" x14ac:dyDescent="0.2">
      <c r="A1" s="4" t="s">
        <v>45</v>
      </c>
      <c r="B1" s="4"/>
      <c r="C1" s="4"/>
      <c r="D1" s="4"/>
      <c r="E1" s="4"/>
      <c r="F1" s="4"/>
      <c r="G1" s="4"/>
    </row>
    <row r="2" spans="1:7" x14ac:dyDescent="0.2">
      <c r="A2" s="3" t="s">
        <v>46</v>
      </c>
      <c r="B2" s="3"/>
      <c r="C2" s="3"/>
      <c r="D2" s="3"/>
      <c r="E2" s="3"/>
      <c r="F2" s="3"/>
      <c r="G2" s="3"/>
    </row>
    <row r="4" spans="1:7" x14ac:dyDescent="0.2">
      <c r="A4" s="16" t="s">
        <v>47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spans="1:7" x14ac:dyDescent="0.2">
      <c r="A5" s="2" t="s">
        <v>53</v>
      </c>
      <c r="B5" s="2"/>
      <c r="C5" s="2"/>
      <c r="D5" s="2"/>
      <c r="E5" s="2"/>
      <c r="F5" s="2"/>
    </row>
    <row r="6" spans="1:7" x14ac:dyDescent="0.2">
      <c r="A6" s="5" t="s">
        <v>54</v>
      </c>
      <c r="B6" s="18">
        <v>365817</v>
      </c>
      <c r="C6" s="18">
        <v>394328</v>
      </c>
      <c r="D6" s="18">
        <v>383285</v>
      </c>
      <c r="E6" s="18">
        <v>391035</v>
      </c>
      <c r="F6" s="18">
        <v>416161</v>
      </c>
    </row>
    <row r="7" spans="1:7" x14ac:dyDescent="0.2">
      <c r="A7" s="5" t="s">
        <v>55</v>
      </c>
      <c r="B7" s="18">
        <v>212981</v>
      </c>
      <c r="C7" s="18">
        <v>223546</v>
      </c>
      <c r="D7" s="18">
        <v>214137</v>
      </c>
      <c r="E7" s="18">
        <v>210352</v>
      </c>
      <c r="F7" s="18">
        <v>220960</v>
      </c>
    </row>
    <row r="8" spans="1:7" x14ac:dyDescent="0.2">
      <c r="A8" s="15" t="s">
        <v>56</v>
      </c>
      <c r="B8" s="19">
        <f>B6-B7</f>
        <v>152836</v>
      </c>
      <c r="C8" s="19">
        <f>C6-C7</f>
        <v>170782</v>
      </c>
      <c r="D8" s="19">
        <f>D6-D7</f>
        <v>169148</v>
      </c>
      <c r="E8" s="19">
        <f>E6-E7</f>
        <v>180683</v>
      </c>
      <c r="F8" s="19">
        <f>F6-F7</f>
        <v>195201</v>
      </c>
    </row>
    <row r="9" spans="1:7" x14ac:dyDescent="0.2">
      <c r="A9" s="5" t="s">
        <v>57</v>
      </c>
      <c r="B9" s="18">
        <v>21914</v>
      </c>
      <c r="C9" s="18">
        <v>26251</v>
      </c>
      <c r="D9" s="18">
        <v>29915</v>
      </c>
      <c r="E9" s="18">
        <v>31370</v>
      </c>
      <c r="F9" s="18">
        <v>34550</v>
      </c>
    </row>
    <row r="10" spans="1:7" x14ac:dyDescent="0.2">
      <c r="A10" s="5" t="s">
        <v>58</v>
      </c>
      <c r="B10" s="18">
        <v>21973</v>
      </c>
      <c r="C10" s="18">
        <v>25094</v>
      </c>
      <c r="D10" s="18">
        <v>24932</v>
      </c>
      <c r="E10" s="18">
        <v>26097</v>
      </c>
      <c r="F10" s="18">
        <v>27601</v>
      </c>
    </row>
    <row r="11" spans="1:7" x14ac:dyDescent="0.2">
      <c r="A11" s="15" t="s">
        <v>59</v>
      </c>
      <c r="B11" s="19">
        <f>B9+B10</f>
        <v>43887</v>
      </c>
      <c r="C11" s="19">
        <f>C9+C10</f>
        <v>51345</v>
      </c>
      <c r="D11" s="19">
        <f>D9+D10</f>
        <v>54847</v>
      </c>
      <c r="E11" s="19">
        <f>E9+E10</f>
        <v>57467</v>
      </c>
      <c r="F11" s="19">
        <f>F9+F10</f>
        <v>62151</v>
      </c>
    </row>
    <row r="12" spans="1:7" x14ac:dyDescent="0.2">
      <c r="A12" s="15" t="s">
        <v>60</v>
      </c>
      <c r="B12" s="20">
        <f>B8-B11</f>
        <v>108949</v>
      </c>
      <c r="C12" s="20">
        <f>C8-C11</f>
        <v>119437</v>
      </c>
      <c r="D12" s="20">
        <f>D8-D11</f>
        <v>114301</v>
      </c>
      <c r="E12" s="20">
        <f>E8-E11</f>
        <v>123216</v>
      </c>
      <c r="F12" s="20">
        <f>F8-F11</f>
        <v>133050</v>
      </c>
    </row>
    <row r="13" spans="1:7" x14ac:dyDescent="0.2">
      <c r="A13" s="5" t="s">
        <v>61</v>
      </c>
      <c r="B13" s="18">
        <v>109197</v>
      </c>
      <c r="C13" s="18">
        <v>119087</v>
      </c>
      <c r="D13" s="18">
        <v>113729</v>
      </c>
      <c r="E13" s="18">
        <v>123481</v>
      </c>
      <c r="F13" s="18">
        <v>132673</v>
      </c>
    </row>
    <row r="14" spans="1:7" x14ac:dyDescent="0.2">
      <c r="A14" s="5" t="s">
        <v>62</v>
      </c>
      <c r="B14" s="19">
        <f>B13-B16</f>
        <v>14517</v>
      </c>
      <c r="C14" s="19">
        <f>C13-C16</f>
        <v>19284</v>
      </c>
      <c r="D14" s="19">
        <f>D13-D16</f>
        <v>16734</v>
      </c>
      <c r="E14" s="19">
        <f>E13-E16</f>
        <v>29745</v>
      </c>
      <c r="F14" s="19">
        <f>F13-F16</f>
        <v>20663</v>
      </c>
    </row>
    <row r="15" spans="1:7" x14ac:dyDescent="0.2">
      <c r="A15" s="21" t="s">
        <v>63</v>
      </c>
      <c r="B15" s="22">
        <f>B14/B13</f>
        <v>0.13294321272562434</v>
      </c>
      <c r="C15" s="22">
        <f>C14/C13</f>
        <v>0.16193203288352212</v>
      </c>
      <c r="D15" s="22">
        <f>D14/D13</f>
        <v>0.147139252081703</v>
      </c>
      <c r="E15" s="22">
        <f>E14/E13</f>
        <v>0.24088726200792024</v>
      </c>
      <c r="F15" s="22">
        <f>F14/F13</f>
        <v>0.15574382127486378</v>
      </c>
    </row>
    <row r="16" spans="1:7" x14ac:dyDescent="0.2">
      <c r="A16" s="5" t="s">
        <v>64</v>
      </c>
      <c r="B16" s="18">
        <v>94680</v>
      </c>
      <c r="C16" s="18">
        <v>99803</v>
      </c>
      <c r="D16" s="18">
        <v>96995</v>
      </c>
      <c r="E16" s="18">
        <v>93736</v>
      </c>
      <c r="F16" s="18">
        <v>112010</v>
      </c>
    </row>
    <row r="17" spans="1:6" x14ac:dyDescent="0.2">
      <c r="A17" s="5" t="s">
        <v>65</v>
      </c>
      <c r="B17" s="23">
        <v>5.61</v>
      </c>
      <c r="C17" s="23">
        <v>6.11</v>
      </c>
      <c r="D17" s="23">
        <v>6.13</v>
      </c>
      <c r="E17" s="23">
        <v>6.08</v>
      </c>
      <c r="F17" s="23">
        <v>7.46</v>
      </c>
    </row>
    <row r="18" spans="1:6" x14ac:dyDescent="0.2">
      <c r="A18" s="21" t="s">
        <v>66</v>
      </c>
      <c r="B18" s="24">
        <f>B16/B17</f>
        <v>16877.005347593582</v>
      </c>
      <c r="C18" s="24">
        <f>C16/C17</f>
        <v>16334.369885433714</v>
      </c>
      <c r="D18" s="24">
        <f>D16/D17</f>
        <v>15823.001631321371</v>
      </c>
      <c r="E18" s="24">
        <f>E16/E17</f>
        <v>15417.105263157895</v>
      </c>
      <c r="F18" s="24">
        <f>F16/F17</f>
        <v>15014.745308310992</v>
      </c>
    </row>
    <row r="20" spans="1:6" x14ac:dyDescent="0.2">
      <c r="A20" s="2" t="s">
        <v>67</v>
      </c>
      <c r="B20" s="2"/>
      <c r="C20" s="2"/>
      <c r="D20" s="2"/>
      <c r="E20" s="2"/>
      <c r="F20" s="2"/>
    </row>
    <row r="21" spans="1:6" x14ac:dyDescent="0.2">
      <c r="A21" s="5" t="s">
        <v>68</v>
      </c>
      <c r="B21" s="18">
        <v>34940</v>
      </c>
      <c r="C21" s="18">
        <v>23646</v>
      </c>
      <c r="D21" s="18">
        <v>29965</v>
      </c>
      <c r="E21" s="18">
        <v>29943</v>
      </c>
      <c r="F21" s="18">
        <v>35934</v>
      </c>
    </row>
    <row r="22" spans="1:6" x14ac:dyDescent="0.2">
      <c r="A22" s="5" t="s">
        <v>69</v>
      </c>
      <c r="B22" s="18">
        <v>27699</v>
      </c>
      <c r="C22" s="18">
        <v>24658</v>
      </c>
      <c r="D22" s="18">
        <v>31590</v>
      </c>
      <c r="E22" s="18">
        <v>35228</v>
      </c>
      <c r="F22" s="18">
        <v>18763</v>
      </c>
    </row>
    <row r="23" spans="1:6" x14ac:dyDescent="0.2">
      <c r="A23" s="15" t="s">
        <v>70</v>
      </c>
      <c r="B23" s="25">
        <f>B21+B22</f>
        <v>62639</v>
      </c>
      <c r="C23" s="25">
        <f>C21+C22</f>
        <v>48304</v>
      </c>
      <c r="D23" s="25">
        <f>D21+D22</f>
        <v>61555</v>
      </c>
      <c r="E23" s="25">
        <f>E21+E22</f>
        <v>65171</v>
      </c>
      <c r="F23" s="25">
        <f>F21+F22</f>
        <v>54697</v>
      </c>
    </row>
    <row r="24" spans="1:6" x14ac:dyDescent="0.2">
      <c r="A24" s="5" t="s">
        <v>71</v>
      </c>
      <c r="B24" s="18">
        <v>26278</v>
      </c>
      <c r="C24" s="18">
        <v>28184</v>
      </c>
      <c r="D24" s="18">
        <v>29508</v>
      </c>
      <c r="E24" s="18">
        <v>33410</v>
      </c>
      <c r="F24" s="18">
        <v>39777</v>
      </c>
    </row>
    <row r="25" spans="1:6" x14ac:dyDescent="0.2">
      <c r="A25" s="5" t="s">
        <v>72</v>
      </c>
      <c r="B25" s="18">
        <v>6580</v>
      </c>
      <c r="C25" s="18">
        <v>4946</v>
      </c>
      <c r="D25" s="18">
        <v>6331</v>
      </c>
      <c r="E25" s="18">
        <v>7286</v>
      </c>
      <c r="F25" s="18">
        <v>5718</v>
      </c>
    </row>
    <row r="26" spans="1:6" x14ac:dyDescent="0.2">
      <c r="A26" s="5" t="s">
        <v>73</v>
      </c>
      <c r="B26" s="18">
        <v>134836</v>
      </c>
      <c r="C26" s="18">
        <v>135405</v>
      </c>
      <c r="D26" s="18">
        <v>143566</v>
      </c>
      <c r="E26" s="18">
        <v>152987</v>
      </c>
      <c r="F26" s="18">
        <v>147957</v>
      </c>
    </row>
    <row r="27" spans="1:6" x14ac:dyDescent="0.2">
      <c r="A27" s="5" t="s">
        <v>74</v>
      </c>
      <c r="B27" s="18">
        <v>351002</v>
      </c>
      <c r="C27" s="18">
        <v>352755</v>
      </c>
      <c r="D27" s="18">
        <v>352583</v>
      </c>
      <c r="E27" s="18">
        <v>364980</v>
      </c>
      <c r="F27" s="18">
        <v>359241</v>
      </c>
    </row>
    <row r="28" spans="1:6" x14ac:dyDescent="0.2">
      <c r="A28" s="5" t="s">
        <v>75</v>
      </c>
      <c r="B28" s="18">
        <v>54763</v>
      </c>
      <c r="C28" s="18">
        <v>64115</v>
      </c>
      <c r="D28" s="18">
        <v>62611</v>
      </c>
      <c r="E28" s="18">
        <v>68960</v>
      </c>
      <c r="F28" s="18">
        <v>69860</v>
      </c>
    </row>
    <row r="29" spans="1:6" x14ac:dyDescent="0.2">
      <c r="A29" s="5" t="s">
        <v>76</v>
      </c>
      <c r="B29" s="18">
        <v>15613</v>
      </c>
      <c r="C29" s="18">
        <v>21110</v>
      </c>
      <c r="D29" s="18">
        <v>15807</v>
      </c>
      <c r="E29" s="18">
        <v>20879</v>
      </c>
      <c r="F29" s="18">
        <v>20329</v>
      </c>
    </row>
    <row r="30" spans="1:6" x14ac:dyDescent="0.2">
      <c r="A30" s="5" t="s">
        <v>77</v>
      </c>
      <c r="B30" s="18">
        <v>109106</v>
      </c>
      <c r="C30" s="18">
        <v>98959</v>
      </c>
      <c r="D30" s="18">
        <v>95281</v>
      </c>
      <c r="E30" s="18">
        <v>85750</v>
      </c>
      <c r="F30" s="18">
        <v>78328</v>
      </c>
    </row>
    <row r="31" spans="1:6" x14ac:dyDescent="0.2">
      <c r="A31" s="15" t="s">
        <v>78</v>
      </c>
      <c r="B31" s="20">
        <f>B29+B30</f>
        <v>124719</v>
      </c>
      <c r="C31" s="20">
        <f>C29+C30</f>
        <v>120069</v>
      </c>
      <c r="D31" s="20">
        <f>D29+D30</f>
        <v>111088</v>
      </c>
      <c r="E31" s="20">
        <f>E29+E30</f>
        <v>106629</v>
      </c>
      <c r="F31" s="20">
        <f>F29+F30</f>
        <v>98657</v>
      </c>
    </row>
    <row r="32" spans="1:6" x14ac:dyDescent="0.2">
      <c r="A32" s="5" t="s">
        <v>79</v>
      </c>
      <c r="B32" s="18">
        <v>287912</v>
      </c>
      <c r="C32" s="18">
        <v>302083</v>
      </c>
      <c r="D32" s="18">
        <v>290437</v>
      </c>
      <c r="E32" s="18">
        <v>308030</v>
      </c>
      <c r="F32" s="18">
        <v>285508</v>
      </c>
    </row>
    <row r="33" spans="1:7" x14ac:dyDescent="0.2">
      <c r="A33" s="5" t="s">
        <v>80</v>
      </c>
      <c r="B33" s="18">
        <v>63090</v>
      </c>
      <c r="C33" s="18">
        <v>50672</v>
      </c>
      <c r="D33" s="18">
        <v>62146</v>
      </c>
      <c r="E33" s="18">
        <v>56950</v>
      </c>
      <c r="F33" s="18">
        <v>73733</v>
      </c>
    </row>
    <row r="35" spans="1:7" x14ac:dyDescent="0.2">
      <c r="A35" s="2" t="s">
        <v>81</v>
      </c>
      <c r="B35" s="2"/>
      <c r="C35" s="2"/>
      <c r="D35" s="2"/>
      <c r="E35" s="2"/>
      <c r="F35" s="2"/>
    </row>
    <row r="36" spans="1:7" x14ac:dyDescent="0.2">
      <c r="A36" s="5" t="s">
        <v>82</v>
      </c>
      <c r="B36" s="18">
        <v>104038</v>
      </c>
      <c r="C36" s="18">
        <v>122151</v>
      </c>
      <c r="D36" s="18">
        <v>110543</v>
      </c>
      <c r="E36" s="18">
        <v>118254</v>
      </c>
      <c r="F36" s="18">
        <v>111482</v>
      </c>
    </row>
    <row r="37" spans="1:7" x14ac:dyDescent="0.2">
      <c r="A37" s="5" t="s">
        <v>83</v>
      </c>
      <c r="B37" s="18">
        <v>11284</v>
      </c>
      <c r="C37" s="18">
        <v>11104</v>
      </c>
      <c r="D37" s="18">
        <v>11519</v>
      </c>
      <c r="E37" s="18">
        <v>11445</v>
      </c>
      <c r="F37" s="18">
        <v>11698</v>
      </c>
    </row>
    <row r="38" spans="1:7" x14ac:dyDescent="0.2">
      <c r="A38" s="5" t="s">
        <v>84</v>
      </c>
      <c r="B38" s="18">
        <v>11085</v>
      </c>
      <c r="C38" s="18">
        <v>10708</v>
      </c>
      <c r="D38" s="18">
        <v>10959</v>
      </c>
      <c r="E38" s="18">
        <v>9447</v>
      </c>
      <c r="F38" s="18">
        <v>12715</v>
      </c>
    </row>
    <row r="39" spans="1:7" x14ac:dyDescent="0.2">
      <c r="A39" s="15" t="s">
        <v>85</v>
      </c>
      <c r="B39" s="20">
        <f>B36-B38</f>
        <v>92953</v>
      </c>
      <c r="C39" s="20">
        <f>C36-C38</f>
        <v>111443</v>
      </c>
      <c r="D39" s="20">
        <f>D36-D38</f>
        <v>99584</v>
      </c>
      <c r="E39" s="20">
        <f>E36-E38</f>
        <v>108807</v>
      </c>
      <c r="F39" s="20">
        <f>F36-F38</f>
        <v>98767</v>
      </c>
    </row>
    <row r="40" spans="1:7" x14ac:dyDescent="0.2">
      <c r="A40" s="5" t="s">
        <v>86</v>
      </c>
      <c r="B40" s="18">
        <v>14467</v>
      </c>
      <c r="C40" s="18">
        <v>14841</v>
      </c>
      <c r="D40" s="18">
        <v>15025</v>
      </c>
      <c r="E40" s="18">
        <v>15234</v>
      </c>
      <c r="F40" s="18">
        <v>15421</v>
      </c>
    </row>
    <row r="41" spans="1:7" x14ac:dyDescent="0.2">
      <c r="A41" s="5" t="s">
        <v>87</v>
      </c>
      <c r="B41" s="18">
        <v>92527</v>
      </c>
      <c r="C41" s="18">
        <v>95625</v>
      </c>
      <c r="D41" s="18">
        <v>82981</v>
      </c>
      <c r="E41" s="18">
        <v>100390</v>
      </c>
      <c r="F41" s="18">
        <v>96671</v>
      </c>
    </row>
    <row r="43" spans="1:7" ht="45" customHeight="1" x14ac:dyDescent="0.2">
      <c r="A43" s="1" t="s">
        <v>88</v>
      </c>
      <c r="B43" s="1"/>
      <c r="C43" s="1"/>
      <c r="D43" s="1"/>
      <c r="E43" s="1"/>
      <c r="F43" s="1"/>
      <c r="G43" s="1"/>
    </row>
  </sheetData>
  <mergeCells count="6">
    <mergeCell ref="A43:G43"/>
    <mergeCell ref="A1:G1"/>
    <mergeCell ref="A2:G2"/>
    <mergeCell ref="A5:F5"/>
    <mergeCell ref="A20:F20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H2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7" sqref="C7"/>
    </sheetView>
  </sheetViews>
  <sheetFormatPr baseColWidth="10" defaultColWidth="8.6640625" defaultRowHeight="15" x14ac:dyDescent="0.2"/>
  <cols>
    <col min="1" max="1" width="38" customWidth="1"/>
    <col min="2" max="6" width="13" customWidth="1"/>
    <col min="7" max="7" width="3" customWidth="1"/>
    <col min="8" max="8" width="60" customWidth="1"/>
  </cols>
  <sheetData>
    <row r="1" spans="1:8" ht="21.75" customHeight="1" x14ac:dyDescent="0.2">
      <c r="A1" s="4" t="s">
        <v>89</v>
      </c>
      <c r="B1" s="4"/>
      <c r="C1" s="4"/>
      <c r="D1" s="4"/>
      <c r="E1" s="4"/>
      <c r="F1" s="4"/>
      <c r="G1" s="4"/>
    </row>
    <row r="2" spans="1:8" x14ac:dyDescent="0.2">
      <c r="A2" s="3" t="s">
        <v>90</v>
      </c>
      <c r="B2" s="3"/>
      <c r="C2" s="3"/>
      <c r="D2" s="3"/>
      <c r="E2" s="3"/>
      <c r="F2" s="3"/>
      <c r="G2" s="3"/>
    </row>
    <row r="4" spans="1:8" x14ac:dyDescent="0.2">
      <c r="A4" s="16" t="s">
        <v>91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spans="1:8" x14ac:dyDescent="0.2">
      <c r="A5" s="2" t="s">
        <v>92</v>
      </c>
      <c r="B5" s="2"/>
      <c r="C5" s="2"/>
      <c r="D5" s="2"/>
      <c r="E5" s="2"/>
      <c r="F5" s="2"/>
    </row>
    <row r="6" spans="1:8" x14ac:dyDescent="0.2">
      <c r="A6" s="5" t="s">
        <v>93</v>
      </c>
      <c r="B6" s="26" t="s">
        <v>94</v>
      </c>
      <c r="C6" s="11">
        <f>(Raw_Data!C6-Raw_Data!B6)/Raw_Data!B6</f>
        <v>7.7937876041846058E-2</v>
      </c>
      <c r="D6" s="11">
        <f>(Raw_Data!D6-Raw_Data!C6)/Raw_Data!C6</f>
        <v>-2.8004605303199367E-2</v>
      </c>
      <c r="E6" s="11">
        <f>(Raw_Data!E6-Raw_Data!D6)/Raw_Data!D6</f>
        <v>2.0219940775141214E-2</v>
      </c>
      <c r="F6" s="11">
        <f>(Raw_Data!F6-Raw_Data!E6)/Raw_Data!E6</f>
        <v>6.4255117828327393E-2</v>
      </c>
    </row>
    <row r="7" spans="1:8" x14ac:dyDescent="0.2">
      <c r="A7" s="5" t="s">
        <v>95</v>
      </c>
      <c r="B7" s="11">
        <f>Raw_Data!B8/Raw_Data!B6</f>
        <v>0.41779359625167778</v>
      </c>
      <c r="C7" s="11">
        <f>Raw_Data!C8/Raw_Data!C6</f>
        <v>0.43309630561360085</v>
      </c>
      <c r="D7" s="11">
        <f>Raw_Data!D8/Raw_Data!D6</f>
        <v>0.44131129577207562</v>
      </c>
      <c r="E7" s="11">
        <f>Raw_Data!E8/Raw_Data!E6</f>
        <v>0.46206349815233932</v>
      </c>
      <c r="F7" s="11">
        <f>Raw_Data!F8/Raw_Data!F6</f>
        <v>0.46905164107160452</v>
      </c>
    </row>
    <row r="8" spans="1:8" x14ac:dyDescent="0.2">
      <c r="A8" s="5" t="s">
        <v>96</v>
      </c>
      <c r="B8" s="11">
        <f>Raw_Data!B12/Raw_Data!B6</f>
        <v>0.29782377527561593</v>
      </c>
      <c r="C8" s="11">
        <f>Raw_Data!C12/Raw_Data!C6</f>
        <v>0.30288744395528594</v>
      </c>
      <c r="D8" s="11">
        <f>Raw_Data!D12/Raw_Data!D6</f>
        <v>0.29821412265024722</v>
      </c>
      <c r="E8" s="11">
        <f>Raw_Data!E12/Raw_Data!E6</f>
        <v>0.31510222870075566</v>
      </c>
      <c r="F8" s="11">
        <f>Raw_Data!F12/Raw_Data!F6</f>
        <v>0.31970799762591884</v>
      </c>
    </row>
    <row r="9" spans="1:8" x14ac:dyDescent="0.2">
      <c r="A9" s="5" t="s">
        <v>97</v>
      </c>
      <c r="B9" s="11">
        <f>Raw_Data!B16/Raw_Data!B6</f>
        <v>0.25881793355694238</v>
      </c>
      <c r="C9" s="11">
        <f>Raw_Data!C16/Raw_Data!C6</f>
        <v>0.25309640705199732</v>
      </c>
      <c r="D9" s="11">
        <f>Raw_Data!D16/Raw_Data!D6</f>
        <v>0.25306234264320282</v>
      </c>
      <c r="E9" s="11">
        <f>Raw_Data!E16/Raw_Data!E6</f>
        <v>0.23971255769943867</v>
      </c>
      <c r="F9" s="11">
        <f>Raw_Data!F16/Raw_Data!F6</f>
        <v>0.26915064121818238</v>
      </c>
    </row>
    <row r="11" spans="1:8" x14ac:dyDescent="0.2">
      <c r="A11" s="2" t="s">
        <v>98</v>
      </c>
      <c r="B11" s="2"/>
      <c r="C11" s="2"/>
      <c r="D11" s="2"/>
      <c r="E11" s="2"/>
      <c r="F11" s="2"/>
    </row>
    <row r="12" spans="1:8" x14ac:dyDescent="0.2">
      <c r="A12" s="5" t="s">
        <v>99</v>
      </c>
      <c r="B12" s="9">
        <f>Raw_Data!B12*(1-Raw_Data!B15)</f>
        <v>94464.969916755945</v>
      </c>
      <c r="C12" s="9">
        <f>Raw_Data!C12*(1-Raw_Data!C15)</f>
        <v>100096.32378849077</v>
      </c>
      <c r="D12" s="9">
        <f>Raw_Data!D12*(1-Raw_Data!D15)</f>
        <v>97482.836347809265</v>
      </c>
      <c r="E12" s="9">
        <f>Raw_Data!E12*(1-Raw_Data!E15)</f>
        <v>93534.835124432109</v>
      </c>
      <c r="F12" s="9">
        <f>Raw_Data!F12*(1-Raw_Data!F15)</f>
        <v>112328.28457937938</v>
      </c>
    </row>
    <row r="13" spans="1:8" x14ac:dyDescent="0.2">
      <c r="A13" s="5" t="s">
        <v>100</v>
      </c>
      <c r="B13" s="9">
        <f>Raw_Data!B31+Raw_Data!B33-Raw_Data!B23</f>
        <v>125170</v>
      </c>
      <c r="C13" s="9">
        <f>Raw_Data!C31+Raw_Data!C33-Raw_Data!C23</f>
        <v>122437</v>
      </c>
      <c r="D13" s="9">
        <f>Raw_Data!D31+Raw_Data!D33-Raw_Data!D23</f>
        <v>111679</v>
      </c>
      <c r="E13" s="9">
        <f>Raw_Data!E31+Raw_Data!E33-Raw_Data!E23</f>
        <v>98408</v>
      </c>
      <c r="F13" s="9">
        <f>Raw_Data!F31+Raw_Data!F33-Raw_Data!F23</f>
        <v>117693</v>
      </c>
    </row>
    <row r="14" spans="1:8" ht="36" x14ac:dyDescent="0.2">
      <c r="A14" s="15" t="s">
        <v>101</v>
      </c>
      <c r="B14" s="27">
        <f>B12/B13</f>
        <v>0.75469337634222211</v>
      </c>
      <c r="C14" s="27">
        <f>C12/C13</f>
        <v>0.81753329294650123</v>
      </c>
      <c r="D14" s="27">
        <f>D12/D13</f>
        <v>0.87288421590280418</v>
      </c>
      <c r="E14" s="27">
        <f>E12/E13</f>
        <v>0.95047999272855976</v>
      </c>
      <c r="F14" s="27">
        <f>F12/F13</f>
        <v>0.95441771880553117</v>
      </c>
      <c r="H14" s="14" t="s">
        <v>102</v>
      </c>
    </row>
    <row r="16" spans="1:8" x14ac:dyDescent="0.2">
      <c r="A16" s="2" t="s">
        <v>103</v>
      </c>
      <c r="B16" s="2"/>
      <c r="C16" s="2"/>
      <c r="D16" s="2"/>
      <c r="E16" s="2"/>
      <c r="F16" s="2"/>
    </row>
    <row r="17" spans="1:8" x14ac:dyDescent="0.2">
      <c r="A17" s="5" t="s">
        <v>104</v>
      </c>
      <c r="B17" s="12">
        <f>Raw_Data!B24/Raw_Data!B6*365</f>
        <v>26.219311841713207</v>
      </c>
      <c r="C17" s="12">
        <f>Raw_Data!C24/Raw_Data!C6*365</f>
        <v>26.087825363656648</v>
      </c>
      <c r="D17" s="12">
        <f>Raw_Data!D24/Raw_Data!D6*365</f>
        <v>28.100290906244702</v>
      </c>
      <c r="E17" s="12">
        <f>Raw_Data!E24/Raw_Data!E6*365</f>
        <v>31.185571624023428</v>
      </c>
      <c r="F17" s="12">
        <f>Raw_Data!F24/Raw_Data!F6*365</f>
        <v>34.886990852098108</v>
      </c>
    </row>
    <row r="18" spans="1:8" x14ac:dyDescent="0.2">
      <c r="A18" s="5" t="s">
        <v>105</v>
      </c>
      <c r="B18" s="12">
        <f>Raw_Data!B25/Raw_Data!B7*365</f>
        <v>11.27659274770989</v>
      </c>
      <c r="C18" s="12">
        <f>Raw_Data!C25/Raw_Data!C7*365</f>
        <v>8.0756980666171607</v>
      </c>
      <c r="D18" s="12">
        <f>Raw_Data!D25/Raw_Data!D7*365</f>
        <v>10.791292490321617</v>
      </c>
      <c r="E18" s="12">
        <f>Raw_Data!E25/Raw_Data!E7*365</f>
        <v>12.642570548414087</v>
      </c>
      <c r="F18" s="12">
        <f>Raw_Data!F25/Raw_Data!F7*365</f>
        <v>9.4454652425778427</v>
      </c>
    </row>
    <row r="19" spans="1:8" x14ac:dyDescent="0.2">
      <c r="A19" s="5" t="s">
        <v>106</v>
      </c>
      <c r="B19" s="12">
        <f>Raw_Data!B28/Raw_Data!B7*365</f>
        <v>93.851071222315596</v>
      </c>
      <c r="C19" s="12">
        <f>Raw_Data!C28/Raw_Data!C7*365</f>
        <v>104.68527730310539</v>
      </c>
      <c r="D19" s="12">
        <f>Raw_Data!D28/Raw_Data!D7*365</f>
        <v>106.72146803214764</v>
      </c>
      <c r="E19" s="12">
        <f>Raw_Data!E28/Raw_Data!E7*365</f>
        <v>119.65847721913744</v>
      </c>
      <c r="F19" s="12">
        <f>Raw_Data!F28/Raw_Data!F7*365</f>
        <v>115.40052498189718</v>
      </c>
    </row>
    <row r="20" spans="1:8" ht="36" x14ac:dyDescent="0.2">
      <c r="A20" s="15" t="s">
        <v>107</v>
      </c>
      <c r="B20" s="28">
        <f>B17+B18-B19</f>
        <v>-56.355166632892498</v>
      </c>
      <c r="C20" s="28">
        <f>C17+C18-C19</f>
        <v>-70.521753872831582</v>
      </c>
      <c r="D20" s="28">
        <f>D17+D18-D19</f>
        <v>-67.829884635581323</v>
      </c>
      <c r="E20" s="28">
        <f>E17+E18-E19</f>
        <v>-75.830335046699929</v>
      </c>
      <c r="F20" s="28">
        <f>F17+F18-F19</f>
        <v>-71.06806888722123</v>
      </c>
      <c r="H20" s="14" t="s">
        <v>108</v>
      </c>
    </row>
    <row r="22" spans="1:8" x14ac:dyDescent="0.2">
      <c r="A22" s="2" t="s">
        <v>109</v>
      </c>
      <c r="B22" s="2"/>
      <c r="C22" s="2"/>
      <c r="D22" s="2"/>
      <c r="E22" s="2"/>
      <c r="F22" s="2"/>
    </row>
    <row r="23" spans="1:8" x14ac:dyDescent="0.2">
      <c r="A23" s="5" t="s">
        <v>110</v>
      </c>
      <c r="B23" s="9">
        <f>Raw_Data!B31-Raw_Data!B23</f>
        <v>62080</v>
      </c>
      <c r="C23" s="9">
        <f>Raw_Data!C31-Raw_Data!C23</f>
        <v>71765</v>
      </c>
      <c r="D23" s="9">
        <f>Raw_Data!D31-Raw_Data!D23</f>
        <v>49533</v>
      </c>
      <c r="E23" s="9">
        <f>Raw_Data!E31-Raw_Data!E23</f>
        <v>41458</v>
      </c>
      <c r="F23" s="9">
        <f>Raw_Data!F31-Raw_Data!F23</f>
        <v>43960</v>
      </c>
    </row>
    <row r="24" spans="1:8" x14ac:dyDescent="0.2">
      <c r="A24" s="5" t="s">
        <v>111</v>
      </c>
      <c r="B24" s="29">
        <f>Raw_Data!B31/Raw_Data!B33</f>
        <v>1.9768426058012363</v>
      </c>
      <c r="C24" s="29">
        <f>Raw_Data!C31/Raw_Data!C33</f>
        <v>2.3695334701610355</v>
      </c>
      <c r="D24" s="29">
        <f>Raw_Data!D31/Raw_Data!D33</f>
        <v>1.7875325845589418</v>
      </c>
      <c r="E24" s="29">
        <f>Raw_Data!E31/Raw_Data!E33</f>
        <v>1.8723266022827041</v>
      </c>
      <c r="F24" s="29">
        <f>Raw_Data!F31/Raw_Data!F33</f>
        <v>1.3380304612588665</v>
      </c>
    </row>
    <row r="26" spans="1:8" ht="30" customHeight="1" x14ac:dyDescent="0.2">
      <c r="A26" s="1" t="s">
        <v>112</v>
      </c>
      <c r="B26" s="1"/>
      <c r="C26" s="1"/>
      <c r="D26" s="1"/>
      <c r="E26" s="1"/>
      <c r="F26" s="1"/>
      <c r="G26" s="1"/>
    </row>
  </sheetData>
  <mergeCells count="7">
    <mergeCell ref="A22:F22"/>
    <mergeCell ref="A26:G26"/>
    <mergeCell ref="A1:G1"/>
    <mergeCell ref="A2:G2"/>
    <mergeCell ref="A5:F5"/>
    <mergeCell ref="A11:F11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H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1" sqref="H11"/>
    </sheetView>
  </sheetViews>
  <sheetFormatPr baseColWidth="10" defaultColWidth="8.6640625" defaultRowHeight="15" x14ac:dyDescent="0.2"/>
  <cols>
    <col min="1" max="1" width="40" customWidth="1"/>
    <col min="2" max="7" width="13" customWidth="1"/>
    <col min="8" max="8" width="29.83203125" customWidth="1"/>
    <col min="9" max="9" width="60" customWidth="1"/>
  </cols>
  <sheetData>
    <row r="1" spans="1:8" ht="21.75" customHeight="1" x14ac:dyDescent="0.2">
      <c r="A1" s="4" t="s">
        <v>113</v>
      </c>
      <c r="B1" s="4"/>
      <c r="C1" s="4"/>
      <c r="D1" s="4"/>
      <c r="E1" s="4"/>
      <c r="F1" s="4"/>
      <c r="G1" s="4"/>
    </row>
    <row r="2" spans="1:8" x14ac:dyDescent="0.2">
      <c r="A2" s="3" t="s">
        <v>114</v>
      </c>
      <c r="B2" s="3"/>
      <c r="C2" s="3"/>
      <c r="D2" s="3"/>
      <c r="E2" s="3"/>
      <c r="F2" s="3"/>
      <c r="G2" s="3"/>
      <c r="H2" s="3"/>
    </row>
    <row r="4" spans="1:8" ht="27.75" customHeight="1" x14ac:dyDescent="0.2">
      <c r="A4" s="16" t="s">
        <v>115</v>
      </c>
      <c r="B4" s="17" t="s">
        <v>116</v>
      </c>
      <c r="C4" s="30" t="s">
        <v>117</v>
      </c>
      <c r="D4" s="30" t="s">
        <v>118</v>
      </c>
      <c r="E4" s="30" t="s">
        <v>119</v>
      </c>
      <c r="F4" s="30" t="s">
        <v>120</v>
      </c>
      <c r="G4" s="30" t="s">
        <v>121</v>
      </c>
    </row>
    <row r="5" spans="1:8" x14ac:dyDescent="0.2">
      <c r="A5" s="2" t="s">
        <v>122</v>
      </c>
      <c r="B5" s="2"/>
      <c r="C5" s="2"/>
      <c r="D5" s="2"/>
      <c r="E5" s="2"/>
      <c r="F5" s="2"/>
      <c r="G5" s="2"/>
    </row>
    <row r="6" spans="1:8" x14ac:dyDescent="0.2">
      <c r="A6" s="5" t="s">
        <v>93</v>
      </c>
      <c r="C6" s="31">
        <v>0.08</v>
      </c>
      <c r="D6" s="31">
        <v>7.0000000000000007E-2</v>
      </c>
      <c r="E6" s="31">
        <v>0.06</v>
      </c>
      <c r="F6" s="31">
        <v>0.05</v>
      </c>
      <c r="G6" s="31">
        <v>0.04</v>
      </c>
    </row>
    <row r="7" spans="1:8" x14ac:dyDescent="0.2">
      <c r="A7" s="5" t="s">
        <v>123</v>
      </c>
      <c r="C7" s="31">
        <v>0.32500000000000001</v>
      </c>
      <c r="D7" s="31">
        <v>0.33</v>
      </c>
      <c r="E7" s="31">
        <v>0.33300000000000002</v>
      </c>
      <c r="F7" s="31">
        <v>0.33600000000000002</v>
      </c>
      <c r="G7" s="31">
        <v>0.34</v>
      </c>
    </row>
    <row r="8" spans="1:8" x14ac:dyDescent="0.2">
      <c r="A8" s="5" t="s">
        <v>124</v>
      </c>
      <c r="C8" s="31">
        <v>0.16</v>
      </c>
      <c r="D8" s="31">
        <v>0.16</v>
      </c>
      <c r="E8" s="31">
        <v>0.16</v>
      </c>
      <c r="F8" s="31">
        <v>0.16</v>
      </c>
      <c r="G8" s="31">
        <v>0.16</v>
      </c>
    </row>
    <row r="9" spans="1:8" x14ac:dyDescent="0.2">
      <c r="A9" s="5" t="s">
        <v>125</v>
      </c>
      <c r="C9" s="31">
        <v>2.8000000000000001E-2</v>
      </c>
      <c r="D9" s="31">
        <v>2.8000000000000001E-2</v>
      </c>
      <c r="E9" s="31">
        <v>2.8000000000000001E-2</v>
      </c>
      <c r="F9" s="31">
        <v>2.8000000000000001E-2</v>
      </c>
      <c r="G9" s="31">
        <v>2.8000000000000001E-2</v>
      </c>
    </row>
    <row r="10" spans="1:8" x14ac:dyDescent="0.2">
      <c r="A10" s="5" t="s">
        <v>126</v>
      </c>
      <c r="C10" s="31">
        <v>3.1E-2</v>
      </c>
      <c r="D10" s="31">
        <v>3.1E-2</v>
      </c>
      <c r="E10" s="31">
        <v>3.1E-2</v>
      </c>
      <c r="F10" s="31">
        <v>3.1E-2</v>
      </c>
      <c r="G10" s="31">
        <v>3.1E-2</v>
      </c>
    </row>
    <row r="11" spans="1:8" ht="409.6" x14ac:dyDescent="0.2">
      <c r="A11" s="5" t="s">
        <v>127</v>
      </c>
      <c r="C11" s="31">
        <v>-5.8000000000000003E-2</v>
      </c>
      <c r="D11" s="31">
        <v>-5.8000000000000003E-2</v>
      </c>
      <c r="E11" s="31">
        <v>-5.8000000000000003E-2</v>
      </c>
      <c r="F11" s="31">
        <v>-5.8000000000000003E-2</v>
      </c>
      <c r="G11" s="31">
        <v>-5.8000000000000003E-2</v>
      </c>
      <c r="H11" s="14" t="s">
        <v>128</v>
      </c>
    </row>
    <row r="13" spans="1:8" x14ac:dyDescent="0.2">
      <c r="A13" s="2" t="s">
        <v>129</v>
      </c>
      <c r="B13" s="2"/>
      <c r="C13" s="2"/>
      <c r="D13" s="2"/>
      <c r="E13" s="2"/>
      <c r="F13" s="2"/>
      <c r="G13" s="2"/>
    </row>
    <row r="14" spans="1:8" x14ac:dyDescent="0.2">
      <c r="A14" s="15" t="s">
        <v>130</v>
      </c>
      <c r="B14" s="9">
        <f>Raw_Data!F6</f>
        <v>416161</v>
      </c>
      <c r="C14" s="25">
        <f>B14*(1+C6)</f>
        <v>449453.88</v>
      </c>
      <c r="D14" s="25">
        <f>C14*(1+D6)</f>
        <v>480915.65160000004</v>
      </c>
      <c r="E14" s="25">
        <f>D14*(1+E6)</f>
        <v>509770.59069600009</v>
      </c>
      <c r="F14" s="25">
        <f>E14*(1+F6)</f>
        <v>535259.12023080012</v>
      </c>
      <c r="G14" s="25">
        <f>F14*(1+G6)</f>
        <v>556669.48504003219</v>
      </c>
    </row>
    <row r="15" spans="1:8" x14ac:dyDescent="0.2">
      <c r="A15" s="5" t="s">
        <v>131</v>
      </c>
      <c r="C15" s="19">
        <f>C14*C7</f>
        <v>146072.511</v>
      </c>
      <c r="D15" s="19">
        <f>D14*D7</f>
        <v>158702.16502800002</v>
      </c>
      <c r="E15" s="19">
        <f>E14*E7</f>
        <v>169753.60670176803</v>
      </c>
      <c r="F15" s="19">
        <f>F14*F7</f>
        <v>179847.06439754885</v>
      </c>
      <c r="G15" s="19">
        <f>G14*G7</f>
        <v>189267.62491361095</v>
      </c>
    </row>
    <row r="16" spans="1:8" x14ac:dyDescent="0.2">
      <c r="A16" s="5" t="s">
        <v>132</v>
      </c>
      <c r="C16" s="19">
        <f>-C15*C8</f>
        <v>-23371.601760000001</v>
      </c>
      <c r="D16" s="19">
        <f>-D15*D8</f>
        <v>-25392.346404480002</v>
      </c>
      <c r="E16" s="19">
        <f>-E15*E8</f>
        <v>-27160.577072282886</v>
      </c>
      <c r="F16" s="19">
        <f>-F15*F8</f>
        <v>-28775.530303607815</v>
      </c>
      <c r="G16" s="19">
        <f>-G15*G8</f>
        <v>-30282.819986177754</v>
      </c>
    </row>
    <row r="17" spans="1:8" x14ac:dyDescent="0.2">
      <c r="A17" s="15" t="s">
        <v>99</v>
      </c>
      <c r="C17" s="20">
        <f>C15+C16</f>
        <v>122700.90923999999</v>
      </c>
      <c r="D17" s="20">
        <f>D15+D16</f>
        <v>133309.81862352003</v>
      </c>
      <c r="E17" s="20">
        <f>E15+E16</f>
        <v>142593.02962948516</v>
      </c>
      <c r="F17" s="20">
        <f>F15+F16</f>
        <v>151071.53409394104</v>
      </c>
      <c r="G17" s="20">
        <f>G15+G16</f>
        <v>158984.8049274332</v>
      </c>
    </row>
    <row r="18" spans="1:8" x14ac:dyDescent="0.2">
      <c r="A18" s="5" t="s">
        <v>133</v>
      </c>
      <c r="C18" s="19">
        <f>C14*C9</f>
        <v>12584.708640000001</v>
      </c>
      <c r="D18" s="19">
        <f>D14*D9</f>
        <v>13465.638244800002</v>
      </c>
      <c r="E18" s="19">
        <f>E14*E9</f>
        <v>14273.576539488004</v>
      </c>
      <c r="F18" s="19">
        <f>F14*F9</f>
        <v>14987.255366462403</v>
      </c>
      <c r="G18" s="19">
        <f>G14*G9</f>
        <v>15586.745581120902</v>
      </c>
    </row>
    <row r="19" spans="1:8" x14ac:dyDescent="0.2">
      <c r="A19" s="5" t="s">
        <v>134</v>
      </c>
      <c r="C19" s="19">
        <f>-C14*C10</f>
        <v>-13933.07028</v>
      </c>
      <c r="D19" s="19">
        <f>-D14*D10</f>
        <v>-14908.385199600001</v>
      </c>
      <c r="E19" s="19">
        <f>-E14*E10</f>
        <v>-15802.888311576002</v>
      </c>
      <c r="F19" s="19">
        <f>-F14*F10</f>
        <v>-16593.032727154805</v>
      </c>
      <c r="G19" s="19">
        <f>-G14*G10</f>
        <v>-17256.754036240996</v>
      </c>
    </row>
    <row r="20" spans="1:8" x14ac:dyDescent="0.2">
      <c r="A20" s="5" t="s">
        <v>135</v>
      </c>
      <c r="C20" s="19">
        <f>-((C14-B14)*C11)</f>
        <v>1930.9870400000004</v>
      </c>
      <c r="D20" s="19">
        <f>-((D14-C14)*D11)</f>
        <v>1824.7827528000023</v>
      </c>
      <c r="E20" s="19">
        <f>-((E14-D14)*E11)</f>
        <v>1673.5864675680027</v>
      </c>
      <c r="F20" s="19">
        <f>-((F14-E14)*F11)</f>
        <v>1478.3347130184022</v>
      </c>
      <c r="G20" s="19">
        <f>-((G14-F14)*G11)</f>
        <v>1241.8011589354599</v>
      </c>
    </row>
    <row r="21" spans="1:8" x14ac:dyDescent="0.2">
      <c r="A21" s="15" t="s">
        <v>136</v>
      </c>
      <c r="B21" s="9">
        <f>Raw_Data!F39</f>
        <v>98767</v>
      </c>
      <c r="C21" s="32">
        <f>C17+C18+C19+C20</f>
        <v>123283.53464000001</v>
      </c>
      <c r="D21" s="32">
        <f>D17+D18+D19+D20</f>
        <v>133691.85442152005</v>
      </c>
      <c r="E21" s="32">
        <f>E17+E18+E19+E20</f>
        <v>142737.30432496517</v>
      </c>
      <c r="F21" s="32">
        <f>F17+F18+F19+F20</f>
        <v>150944.09144626703</v>
      </c>
      <c r="G21" s="32">
        <f>G17+G18+G19+G20</f>
        <v>158556.59763124856</v>
      </c>
    </row>
    <row r="22" spans="1:8" x14ac:dyDescent="0.2">
      <c r="A22" s="21" t="s">
        <v>137</v>
      </c>
      <c r="C22" s="22">
        <f>C21/B21-1</f>
        <v>0.24822597264268453</v>
      </c>
      <c r="D22" s="22">
        <f>D21/C21-1</f>
        <v>8.4425870915474155E-2</v>
      </c>
      <c r="E22" s="22">
        <f>E21/D21-1</f>
        <v>6.7658945584863517E-2</v>
      </c>
      <c r="F22" s="22">
        <f>F21/E21-1</f>
        <v>5.7495741285808144E-2</v>
      </c>
      <c r="G22" s="22">
        <f>G21/F21-1</f>
        <v>5.0432621191346394E-2</v>
      </c>
    </row>
    <row r="24" spans="1:8" ht="30" customHeight="1" x14ac:dyDescent="0.2">
      <c r="A24" s="1" t="s">
        <v>138</v>
      </c>
      <c r="B24" s="1"/>
      <c r="C24" s="1"/>
      <c r="D24" s="1"/>
      <c r="E24" s="1"/>
      <c r="F24" s="1"/>
      <c r="G24" s="1"/>
      <c r="H24" s="1"/>
    </row>
  </sheetData>
  <mergeCells count="5">
    <mergeCell ref="A1:G1"/>
    <mergeCell ref="A2:H2"/>
    <mergeCell ref="A5:G5"/>
    <mergeCell ref="A13:G13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D28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3" customWidth="1"/>
    <col min="4" max="4" width="60" customWidth="1"/>
  </cols>
  <sheetData>
    <row r="1" spans="1:4" ht="21.75" customHeight="1" x14ac:dyDescent="0.2">
      <c r="A1" s="4" t="s">
        <v>139</v>
      </c>
      <c r="B1" s="4"/>
    </row>
    <row r="3" spans="1:4" x14ac:dyDescent="0.2">
      <c r="A3" s="2" t="s">
        <v>140</v>
      </c>
      <c r="B3" s="2"/>
    </row>
    <row r="4" spans="1:4" ht="48" x14ac:dyDescent="0.2">
      <c r="A4" s="5" t="s">
        <v>141</v>
      </c>
      <c r="B4" s="33">
        <v>4.2500000000000003E-2</v>
      </c>
      <c r="D4" s="14" t="s">
        <v>142</v>
      </c>
    </row>
    <row r="5" spans="1:4" x14ac:dyDescent="0.2">
      <c r="A5" s="5" t="s">
        <v>143</v>
      </c>
      <c r="B5" s="34">
        <v>1.08</v>
      </c>
    </row>
    <row r="6" spans="1:4" x14ac:dyDescent="0.2">
      <c r="A6" s="5" t="s">
        <v>144</v>
      </c>
      <c r="B6" s="33">
        <v>0.05</v>
      </c>
    </row>
    <row r="7" spans="1:4" x14ac:dyDescent="0.2">
      <c r="A7" s="15" t="s">
        <v>145</v>
      </c>
      <c r="B7" s="35">
        <f>B4+B5*B6</f>
        <v>9.6500000000000002E-2</v>
      </c>
    </row>
    <row r="9" spans="1:4" x14ac:dyDescent="0.2">
      <c r="A9" s="2" t="s">
        <v>146</v>
      </c>
      <c r="B9" s="2"/>
    </row>
    <row r="10" spans="1:4" ht="60" x14ac:dyDescent="0.2">
      <c r="A10" s="5" t="s">
        <v>147</v>
      </c>
      <c r="B10" s="36">
        <v>1500</v>
      </c>
      <c r="D10" s="14" t="s">
        <v>148</v>
      </c>
    </row>
    <row r="11" spans="1:4" x14ac:dyDescent="0.2">
      <c r="A11" s="5" t="s">
        <v>149</v>
      </c>
      <c r="B11" s="9">
        <f>Raw_Data!F31</f>
        <v>98657</v>
      </c>
    </row>
    <row r="12" spans="1:4" x14ac:dyDescent="0.2">
      <c r="A12" s="15" t="s">
        <v>150</v>
      </c>
      <c r="B12" s="35">
        <f>B10/B11</f>
        <v>1.5204192302624243E-2</v>
      </c>
    </row>
    <row r="13" spans="1:4" x14ac:dyDescent="0.2">
      <c r="A13" s="5" t="s">
        <v>151</v>
      </c>
      <c r="B13" s="11">
        <f>Forecast_Model!C8</f>
        <v>0.16</v>
      </c>
    </row>
    <row r="14" spans="1:4" x14ac:dyDescent="0.2">
      <c r="A14" s="15" t="s">
        <v>152</v>
      </c>
      <c r="B14" s="35">
        <f>B12*(1-B13)</f>
        <v>1.2771521534204364E-2</v>
      </c>
    </row>
    <row r="16" spans="1:4" x14ac:dyDescent="0.2">
      <c r="A16" s="2" t="s">
        <v>153</v>
      </c>
      <c r="B16" s="2"/>
    </row>
    <row r="17" spans="1:4" ht="36" x14ac:dyDescent="0.2">
      <c r="A17" s="5" t="s">
        <v>154</v>
      </c>
      <c r="B17" s="37">
        <v>301.58</v>
      </c>
      <c r="D17" s="14" t="s">
        <v>155</v>
      </c>
    </row>
    <row r="18" spans="1:4" x14ac:dyDescent="0.2">
      <c r="A18" s="5" t="s">
        <v>156</v>
      </c>
      <c r="B18" s="38">
        <f>Raw_Data!F18</f>
        <v>15014.745308310992</v>
      </c>
    </row>
    <row r="19" spans="1:4" x14ac:dyDescent="0.2">
      <c r="A19" s="15" t="s">
        <v>157</v>
      </c>
      <c r="B19" s="20">
        <f>B17*B18</f>
        <v>4528146.8900804287</v>
      </c>
    </row>
    <row r="20" spans="1:4" x14ac:dyDescent="0.2">
      <c r="A20" s="5" t="s">
        <v>158</v>
      </c>
      <c r="B20" s="19">
        <f>B11</f>
        <v>98657</v>
      </c>
    </row>
    <row r="21" spans="1:4" x14ac:dyDescent="0.2">
      <c r="A21" s="15" t="s">
        <v>159</v>
      </c>
      <c r="B21" s="25">
        <f>B19+B20</f>
        <v>4626803.8900804287</v>
      </c>
    </row>
    <row r="22" spans="1:4" x14ac:dyDescent="0.2">
      <c r="A22" s="5" t="s">
        <v>160</v>
      </c>
      <c r="B22" s="22">
        <f>B19/B21</f>
        <v>0.97867707334397414</v>
      </c>
    </row>
    <row r="23" spans="1:4" x14ac:dyDescent="0.2">
      <c r="A23" s="5" t="s">
        <v>161</v>
      </c>
      <c r="B23" s="22">
        <f>B20/B21</f>
        <v>2.1322926656025833E-2</v>
      </c>
    </row>
    <row r="25" spans="1:4" x14ac:dyDescent="0.2">
      <c r="A25" s="2" t="s">
        <v>8</v>
      </c>
      <c r="B25" s="2"/>
    </row>
    <row r="26" spans="1:4" ht="19.5" customHeight="1" x14ac:dyDescent="0.2">
      <c r="A26" s="15" t="s">
        <v>162</v>
      </c>
      <c r="B26" s="39">
        <f>(B22*B7)+(B23*B14)</f>
        <v>9.4714663794653195E-2</v>
      </c>
    </row>
    <row r="28" spans="1:4" ht="30" customHeight="1" x14ac:dyDescent="0.2">
      <c r="A28" s="1" t="s">
        <v>163</v>
      </c>
      <c r="B28" s="1"/>
      <c r="C28" s="1"/>
      <c r="D28" s="1"/>
    </row>
  </sheetData>
  <mergeCells count="6">
    <mergeCell ref="A28:D28"/>
    <mergeCell ref="A1:B1"/>
    <mergeCell ref="A3:B3"/>
    <mergeCell ref="A9:B9"/>
    <mergeCell ref="A16:B16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G2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ColWidth="8.6640625" defaultRowHeight="15" x14ac:dyDescent="0.2"/>
  <cols>
    <col min="1" max="1" width="42" customWidth="1"/>
    <col min="2" max="6" width="14" customWidth="1"/>
    <col min="7" max="7" width="3" customWidth="1"/>
    <col min="8" max="8" width="60" customWidth="1"/>
  </cols>
  <sheetData>
    <row r="1" spans="1:7" ht="21.75" customHeight="1" x14ac:dyDescent="0.2">
      <c r="A1" s="4" t="s">
        <v>164</v>
      </c>
      <c r="B1" s="4"/>
      <c r="C1" s="4"/>
      <c r="D1" s="4"/>
      <c r="E1" s="4"/>
      <c r="F1" s="4"/>
      <c r="G1" s="4"/>
    </row>
    <row r="3" spans="1:7" x14ac:dyDescent="0.2">
      <c r="A3" s="16" t="s">
        <v>165</v>
      </c>
      <c r="C3" s="17" t="s">
        <v>166</v>
      </c>
      <c r="D3" s="17" t="s">
        <v>167</v>
      </c>
      <c r="E3" s="17" t="s">
        <v>168</v>
      </c>
      <c r="F3" s="17" t="s">
        <v>169</v>
      </c>
      <c r="G3" s="17" t="s">
        <v>170</v>
      </c>
    </row>
    <row r="4" spans="1:7" x14ac:dyDescent="0.2">
      <c r="A4" s="5" t="s">
        <v>171</v>
      </c>
      <c r="C4" s="9">
        <f>Forecast_Model!C21</f>
        <v>123283.53464000001</v>
      </c>
      <c r="D4" s="9">
        <f>Forecast_Model!D21</f>
        <v>133691.85442152005</v>
      </c>
      <c r="E4" s="9">
        <f>Forecast_Model!E21</f>
        <v>142737.30432496517</v>
      </c>
      <c r="F4" s="9">
        <f>Forecast_Model!F21</f>
        <v>150944.09144626703</v>
      </c>
      <c r="G4" s="9">
        <f>Forecast_Model!G21</f>
        <v>158556.59763124856</v>
      </c>
    </row>
    <row r="5" spans="1:7" x14ac:dyDescent="0.2">
      <c r="A5" s="5" t="s">
        <v>172</v>
      </c>
      <c r="C5" s="40">
        <v>1</v>
      </c>
      <c r="D5" s="40">
        <v>2</v>
      </c>
      <c r="E5" s="40">
        <v>3</v>
      </c>
      <c r="F5" s="40">
        <v>4</v>
      </c>
      <c r="G5" s="40">
        <v>5</v>
      </c>
    </row>
    <row r="6" spans="1:7" x14ac:dyDescent="0.2">
      <c r="A6" s="5" t="s">
        <v>173</v>
      </c>
      <c r="C6" s="41">
        <f>1/(1+WACC_Calculation!$B$26)^C5</f>
        <v>0.91348004468457566</v>
      </c>
      <c r="D6" s="41">
        <f>1/(1+WACC_Calculation!$B$26)^D5</f>
        <v>0.83444579203693425</v>
      </c>
      <c r="E6" s="41">
        <f>1/(1+WACC_Calculation!$B$26)^E5</f>
        <v>0.76224957939675486</v>
      </c>
      <c r="F6" s="41">
        <f>1/(1+WACC_Calculation!$B$26)^F5</f>
        <v>0.69629977984814662</v>
      </c>
      <c r="G6" s="41">
        <f>1/(1+WACC_Calculation!$B$26)^G5</f>
        <v>0.63605595400954507</v>
      </c>
    </row>
    <row r="7" spans="1:7" x14ac:dyDescent="0.2">
      <c r="A7" s="15" t="s">
        <v>174</v>
      </c>
      <c r="C7" s="20">
        <f>C4*C6</f>
        <v>112617.04873181964</v>
      </c>
      <c r="D7" s="20">
        <f>D4*D6</f>
        <v>111558.60535165181</v>
      </c>
      <c r="E7" s="20">
        <f>E4*E6</f>
        <v>108801.4501859313</v>
      </c>
      <c r="F7" s="20">
        <f>F4*F6</f>
        <v>105102.33764341424</v>
      </c>
      <c r="G7" s="20">
        <f>G4*G6</f>
        <v>100850.86797085138</v>
      </c>
    </row>
    <row r="9" spans="1:7" x14ac:dyDescent="0.2">
      <c r="A9" s="2" t="s">
        <v>175</v>
      </c>
      <c r="B9" s="2"/>
    </row>
    <row r="10" spans="1:7" x14ac:dyDescent="0.2">
      <c r="A10" s="15" t="s">
        <v>176</v>
      </c>
      <c r="B10" s="20">
        <f>SUM(C7:G7)</f>
        <v>538930.30988366832</v>
      </c>
    </row>
    <row r="11" spans="1:7" ht="168" x14ac:dyDescent="0.2">
      <c r="A11" s="5" t="s">
        <v>9</v>
      </c>
      <c r="B11" s="33">
        <v>2.5000000000000001E-2</v>
      </c>
      <c r="D11" s="14" t="s">
        <v>177</v>
      </c>
    </row>
    <row r="12" spans="1:7" x14ac:dyDescent="0.2">
      <c r="A12" s="5" t="s">
        <v>178</v>
      </c>
      <c r="B12" s="10">
        <f>WACC_Calculation!B26</f>
        <v>9.4714663794653195E-2</v>
      </c>
    </row>
    <row r="13" spans="1:7" x14ac:dyDescent="0.2">
      <c r="A13" s="15" t="s">
        <v>179</v>
      </c>
      <c r="B13" s="20">
        <f>(G4*(1+B11))/(B12-B11)</f>
        <v>2331224.2177734547</v>
      </c>
    </row>
    <row r="14" spans="1:7" x14ac:dyDescent="0.2">
      <c r="A14" s="15" t="s">
        <v>180</v>
      </c>
      <c r="B14" s="20">
        <f>B13/(1+B12)^5</f>
        <v>1482789.0438460503</v>
      </c>
    </row>
    <row r="17" spans="1:7" x14ac:dyDescent="0.2">
      <c r="A17" s="2" t="s">
        <v>181</v>
      </c>
      <c r="B17" s="2"/>
    </row>
    <row r="18" spans="1:7" x14ac:dyDescent="0.2">
      <c r="A18" s="15" t="s">
        <v>182</v>
      </c>
      <c r="B18" s="42">
        <f>B10+B14</f>
        <v>2021719.3537297186</v>
      </c>
    </row>
    <row r="19" spans="1:7" x14ac:dyDescent="0.2">
      <c r="A19" s="5" t="s">
        <v>183</v>
      </c>
      <c r="B19" s="9">
        <f>Raw_Data!F23</f>
        <v>54697</v>
      </c>
    </row>
    <row r="20" spans="1:7" x14ac:dyDescent="0.2">
      <c r="A20" s="5" t="s">
        <v>184</v>
      </c>
      <c r="B20" s="9">
        <f>-Raw_Data!F31</f>
        <v>-98657</v>
      </c>
    </row>
    <row r="21" spans="1:7" x14ac:dyDescent="0.2">
      <c r="A21" s="15" t="s">
        <v>185</v>
      </c>
      <c r="B21" s="42">
        <f>B18+B19+B20</f>
        <v>1977759.3537297186</v>
      </c>
    </row>
    <row r="22" spans="1:7" x14ac:dyDescent="0.2">
      <c r="A22" s="5" t="s">
        <v>66</v>
      </c>
      <c r="B22" s="38">
        <f>Raw_Data!F18</f>
        <v>15014.745308310992</v>
      </c>
    </row>
    <row r="23" spans="1:7" ht="19.5" customHeight="1" x14ac:dyDescent="0.2">
      <c r="A23" s="15" t="s">
        <v>186</v>
      </c>
      <c r="B23" s="43">
        <f>B21/B22</f>
        <v>131.7211389949442</v>
      </c>
    </row>
    <row r="24" spans="1:7" x14ac:dyDescent="0.2">
      <c r="A24" s="5" t="s">
        <v>187</v>
      </c>
      <c r="B24" s="6">
        <f>WACC_Calculation!B17</f>
        <v>301.58</v>
      </c>
    </row>
    <row r="25" spans="1:7" x14ac:dyDescent="0.2">
      <c r="A25" s="15" t="s">
        <v>188</v>
      </c>
      <c r="B25" s="27">
        <f>B23/B24-1</f>
        <v>-0.56322985942388692</v>
      </c>
    </row>
    <row r="27" spans="1:7" ht="30" customHeight="1" x14ac:dyDescent="0.2">
      <c r="A27" s="1" t="s">
        <v>189</v>
      </c>
      <c r="B27" s="1"/>
      <c r="C27" s="1"/>
      <c r="D27" s="1"/>
      <c r="E27" s="1"/>
      <c r="F27" s="1"/>
      <c r="G27" s="1"/>
    </row>
  </sheetData>
  <mergeCells count="4">
    <mergeCell ref="A1:G1"/>
    <mergeCell ref="A9:B9"/>
    <mergeCell ref="A17:B17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H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23" sqref="H23"/>
    </sheetView>
  </sheetViews>
  <sheetFormatPr baseColWidth="10" defaultColWidth="8.6640625" defaultRowHeight="15" x14ac:dyDescent="0.2"/>
  <cols>
    <col min="1" max="1" width="30" customWidth="1"/>
    <col min="2" max="6" width="13" customWidth="1"/>
    <col min="7" max="7" width="7.6640625" bestFit="1" customWidth="1"/>
    <col min="8" max="8" width="60" customWidth="1"/>
  </cols>
  <sheetData>
    <row r="1" spans="1:8" ht="21.75" customHeight="1" x14ac:dyDescent="0.2">
      <c r="A1" s="4" t="s">
        <v>190</v>
      </c>
      <c r="B1" s="4"/>
      <c r="C1" s="4"/>
      <c r="D1" s="4"/>
      <c r="E1" s="4"/>
      <c r="F1" s="4"/>
      <c r="G1" s="4"/>
    </row>
    <row r="2" spans="1:8" ht="27.75" customHeight="1" x14ac:dyDescent="0.2">
      <c r="A2" s="3" t="s">
        <v>191</v>
      </c>
      <c r="B2" s="3"/>
      <c r="C2" s="3"/>
      <c r="D2" s="3"/>
      <c r="E2" s="3"/>
      <c r="F2" s="3"/>
      <c r="G2" s="3"/>
      <c r="H2" s="3"/>
    </row>
    <row r="4" spans="1:8" x14ac:dyDescent="0.2">
      <c r="A4" s="44" t="s">
        <v>192</v>
      </c>
    </row>
    <row r="5" spans="1:8" x14ac:dyDescent="0.2">
      <c r="A5" s="45" t="s">
        <v>193</v>
      </c>
      <c r="C5" s="46">
        <v>0.02</v>
      </c>
      <c r="D5" s="46">
        <v>2.5000000000000001E-2</v>
      </c>
      <c r="E5" s="46">
        <v>0.03</v>
      </c>
      <c r="F5" s="46">
        <v>3.5000000000000003E-2</v>
      </c>
      <c r="G5" s="46">
        <v>0.04</v>
      </c>
    </row>
    <row r="6" spans="1:8" x14ac:dyDescent="0.2">
      <c r="A6" s="35">
        <v>7.4999999999999997E-2</v>
      </c>
      <c r="C6" s="47">
        <f>((INDEX(Forecast_Model!$C$21:$G$21,1)/(1+$A6)^1+INDEX(Forecast_Model!$C$21:$G$21,2)/(1+$A6)^2+INDEX(Forecast_Model!$C$21:$G$21,3)/(1+$A6)^3+INDEX(Forecast_Model!$C$21:$G$21,4)/(1+$A6)^4+INDEX(Forecast_Model!$C$21:$G$21,5)/(1+$A6)^5+((INDEX(Forecast_Model!$C$21:$G$21,5)*(1+C$5))/($A6-C$5))/(1+$A6)^5)+Raw_Data!$F$23-Raw_Data!$F$31)/Raw_Data!$F$18</f>
        <v>171.36572594769552</v>
      </c>
      <c r="D6" s="47">
        <f>((INDEX(Forecast_Model!$C$21:$G$21,1)/(1+$A6)^1+INDEX(Forecast_Model!$C$21:$G$21,2)/(1+$A6)^2+INDEX(Forecast_Model!$C$21:$G$21,3)/(1+$A6)^3+INDEX(Forecast_Model!$C$21:$G$21,4)/(1+$A6)^4+INDEX(Forecast_Model!$C$21:$G$21,5)/(1+$A6)^5+((INDEX(Forecast_Model!$C$21:$G$21,5)*(1+D$5))/($A6-D$5))/(1+$A6)^5)+Raw_Data!$F$23-Raw_Data!$F$31)/Raw_Data!$F$18</f>
        <v>185.74277656365359</v>
      </c>
      <c r="E6" s="47">
        <f>((INDEX(Forecast_Model!$C$21:$G$21,1)/(1+$A6)^1+INDEX(Forecast_Model!$C$21:$G$21,2)/(1+$A6)^2+INDEX(Forecast_Model!$C$21:$G$21,3)/(1+$A6)^3+INDEX(Forecast_Model!$C$21:$G$21,4)/(1+$A6)^4+INDEX(Forecast_Model!$C$21:$G$21,5)/(1+$A6)^5+((INDEX(Forecast_Model!$C$21:$G$21,5)*(1+E$5))/($A6-E$5))/(1+$A6)^5)+Raw_Data!$F$23-Raw_Data!$F$31)/Raw_Data!$F$18</f>
        <v>203.31472731649131</v>
      </c>
      <c r="F6" s="47">
        <f>((INDEX(Forecast_Model!$C$21:$G$21,1)/(1+$A6)^1+INDEX(Forecast_Model!$C$21:$G$21,2)/(1+$A6)^2+INDEX(Forecast_Model!$C$21:$G$21,3)/(1+$A6)^3+INDEX(Forecast_Model!$C$21:$G$21,4)/(1+$A6)^4+INDEX(Forecast_Model!$C$21:$G$21,5)/(1+$A6)^5+((INDEX(Forecast_Model!$C$21:$G$21,5)*(1+F$5))/($A6-F$5))/(1+$A6)^5)+Raw_Data!$F$23-Raw_Data!$F$31)/Raw_Data!$F$18</f>
        <v>225.27966575753834</v>
      </c>
      <c r="G6" s="47">
        <f>((INDEX(Forecast_Model!$C$21:$G$21,1)/(1+$A6)^1+INDEX(Forecast_Model!$C$21:$G$21,2)/(1+$A6)^2+INDEX(Forecast_Model!$C$21:$G$21,3)/(1+$A6)^3+INDEX(Forecast_Model!$C$21:$G$21,4)/(1+$A6)^4+INDEX(Forecast_Model!$C$21:$G$21,5)/(1+$A6)^5+((INDEX(Forecast_Model!$C$21:$G$21,5)*(1+G$5))/($A6-G$5))/(1+$A6)^5)+Raw_Data!$F$23-Raw_Data!$F$31)/Raw_Data!$F$18</f>
        <v>253.52030089602744</v>
      </c>
    </row>
    <row r="7" spans="1:8" x14ac:dyDescent="0.2">
      <c r="A7" s="35">
        <v>0.08</v>
      </c>
      <c r="C7" s="47">
        <f>((INDEX(Forecast_Model!$C$21:$G$21,1)/(1+$A7)^1+INDEX(Forecast_Model!$C$21:$G$21,2)/(1+$A7)^2+INDEX(Forecast_Model!$C$21:$G$21,3)/(1+$A7)^3+INDEX(Forecast_Model!$C$21:$G$21,4)/(1+$A7)^4+INDEX(Forecast_Model!$C$21:$G$21,5)/(1+$A7)^5+((INDEX(Forecast_Model!$C$21:$G$21,5)*(1+C$5))/($A7-C$5))/(1+$A7)^5)+Raw_Data!$F$23-Raw_Data!$F$31)/Raw_Data!$F$18</f>
        <v>156.61043109274982</v>
      </c>
      <c r="D7" s="47">
        <f>((INDEX(Forecast_Model!$C$21:$G$21,1)/(1+$A7)^1+INDEX(Forecast_Model!$C$21:$G$21,2)/(1+$A7)^2+INDEX(Forecast_Model!$C$21:$G$21,3)/(1+$A7)^3+INDEX(Forecast_Model!$C$21:$G$21,4)/(1+$A7)^4+INDEX(Forecast_Model!$C$21:$G$21,5)/(1+$A7)^5+((INDEX(Forecast_Model!$C$21:$G$21,5)*(1+D$5))/($A7-D$5))/(1+$A7)^5)+Raw_Data!$F$23-Raw_Data!$F$31)/Raw_Data!$F$18</f>
        <v>168.37097454154025</v>
      </c>
      <c r="E7" s="47">
        <f>((INDEX(Forecast_Model!$C$21:$G$21,1)/(1+$A7)^1+INDEX(Forecast_Model!$C$21:$G$21,2)/(1+$A7)^2+INDEX(Forecast_Model!$C$21:$G$21,3)/(1+$A7)^3+INDEX(Forecast_Model!$C$21:$G$21,4)/(1+$A7)^4+INDEX(Forecast_Model!$C$21:$G$21,5)/(1+$A7)^5+((INDEX(Forecast_Model!$C$21:$G$21,5)*(1+E$5))/($A7-E$5))/(1+$A7)^5)+Raw_Data!$F$23-Raw_Data!$F$31)/Raw_Data!$F$18</f>
        <v>182.4836266800888</v>
      </c>
      <c r="F7" s="47">
        <f>((INDEX(Forecast_Model!$C$21:$G$21,1)/(1+$A7)^1+INDEX(Forecast_Model!$C$21:$G$21,2)/(1+$A7)^2+INDEX(Forecast_Model!$C$21:$G$21,3)/(1+$A7)^3+INDEX(Forecast_Model!$C$21:$G$21,4)/(1+$A7)^4+INDEX(Forecast_Model!$C$21:$G$21,5)/(1+$A7)^5+((INDEX(Forecast_Model!$C$21:$G$21,5)*(1+F$5))/($A7-F$5))/(1+$A7)^5)+Raw_Data!$F$23-Raw_Data!$F$31)/Raw_Data!$F$18</f>
        <v>199.73242373831476</v>
      </c>
      <c r="G7" s="47">
        <f>((INDEX(Forecast_Model!$C$21:$G$21,1)/(1+$A7)^1+INDEX(Forecast_Model!$C$21:$G$21,2)/(1+$A7)^2+INDEX(Forecast_Model!$C$21:$G$21,3)/(1+$A7)^3+INDEX(Forecast_Model!$C$21:$G$21,4)/(1+$A7)^4+INDEX(Forecast_Model!$C$21:$G$21,5)/(1+$A7)^5+((INDEX(Forecast_Model!$C$21:$G$21,5)*(1+G$5))/($A7-G$5))/(1+$A7)^5)+Raw_Data!$F$23-Raw_Data!$F$31)/Raw_Data!$F$18</f>
        <v>221.29342006109721</v>
      </c>
    </row>
    <row r="8" spans="1:8" x14ac:dyDescent="0.2">
      <c r="A8" s="35">
        <v>8.5000000000000006E-2</v>
      </c>
      <c r="C8" s="47">
        <f>((INDEX(Forecast_Model!$C$21:$G$21,1)/(1+$A8)^1+INDEX(Forecast_Model!$C$21:$G$21,2)/(1+$A8)^2+INDEX(Forecast_Model!$C$21:$G$21,3)/(1+$A8)^3+INDEX(Forecast_Model!$C$21:$G$21,4)/(1+$A8)^4+INDEX(Forecast_Model!$C$21:$G$21,5)/(1+$A8)^5+((INDEX(Forecast_Model!$C$21:$G$21,5)*(1+C$5))/($A8-C$5))/(1+$A8)^5)+Raw_Data!$F$23-Raw_Data!$F$31)/Raw_Data!$F$18</f>
        <v>144.12882733772122</v>
      </c>
      <c r="D8" s="47">
        <f>((INDEX(Forecast_Model!$C$21:$G$21,1)/(1+$A8)^1+INDEX(Forecast_Model!$C$21:$G$21,2)/(1+$A8)^2+INDEX(Forecast_Model!$C$21:$G$21,3)/(1+$A8)^3+INDEX(Forecast_Model!$C$21:$G$21,4)/(1+$A8)^4+INDEX(Forecast_Model!$C$21:$G$21,5)/(1+$A8)^5+((INDEX(Forecast_Model!$C$21:$G$21,5)*(1+D$5))/($A8-D$5))/(1+$A8)^5)+Raw_Data!$F$23-Raw_Data!$F$31)/Raw_Data!$F$18</f>
        <v>153.89788769348047</v>
      </c>
      <c r="E8" s="47">
        <f>((INDEX(Forecast_Model!$C$21:$G$21,1)/(1+$A8)^1+INDEX(Forecast_Model!$C$21:$G$21,2)/(1+$A8)^2+INDEX(Forecast_Model!$C$21:$G$21,3)/(1+$A8)^3+INDEX(Forecast_Model!$C$21:$G$21,4)/(1+$A8)^4+INDEX(Forecast_Model!$C$21:$G$21,5)/(1+$A8)^5+((INDEX(Forecast_Model!$C$21:$G$21,5)*(1+E$5))/($A8-E$5))/(1+$A8)^5)+Raw_Data!$F$23-Raw_Data!$F$31)/Raw_Data!$F$18</f>
        <v>165.44314084119603</v>
      </c>
      <c r="F8" s="47">
        <f>((INDEX(Forecast_Model!$C$21:$G$21,1)/(1+$A8)^1+INDEX(Forecast_Model!$C$21:$G$21,2)/(1+$A8)^2+INDEX(Forecast_Model!$C$21:$G$21,3)/(1+$A8)^3+INDEX(Forecast_Model!$C$21:$G$21,4)/(1+$A8)^4+INDEX(Forecast_Model!$C$21:$G$21,5)/(1+$A8)^5+((INDEX(Forecast_Model!$C$21:$G$21,5)*(1+F$5))/($A8-F$5))/(1+$A8)^5)+Raw_Data!$F$23-Raw_Data!$F$31)/Raw_Data!$F$18</f>
        <v>179.29744461845465</v>
      </c>
      <c r="G8" s="47">
        <f>((INDEX(Forecast_Model!$C$21:$G$21,1)/(1+$A8)^1+INDEX(Forecast_Model!$C$21:$G$21,2)/(1+$A8)^2+INDEX(Forecast_Model!$C$21:$G$21,3)/(1+$A8)^3+INDEX(Forecast_Model!$C$21:$G$21,4)/(1+$A8)^4+INDEX(Forecast_Model!$C$21:$G$21,5)/(1+$A8)^5+((INDEX(Forecast_Model!$C$21:$G$21,5)*(1+G$5))/($A8-G$5))/(1+$A8)^5)+Raw_Data!$F$23-Raw_Data!$F$31)/Raw_Data!$F$18</f>
        <v>196.2304825684374</v>
      </c>
    </row>
    <row r="9" spans="1:8" x14ac:dyDescent="0.2">
      <c r="A9" s="35">
        <v>0.09</v>
      </c>
      <c r="C9" s="47">
        <f>((INDEX(Forecast_Model!$C$21:$G$21,1)/(1+$A9)^1+INDEX(Forecast_Model!$C$21:$G$21,2)/(1+$A9)^2+INDEX(Forecast_Model!$C$21:$G$21,3)/(1+$A9)^3+INDEX(Forecast_Model!$C$21:$G$21,4)/(1+$A9)^4+INDEX(Forecast_Model!$C$21:$G$21,5)/(1+$A9)^5+((INDEX(Forecast_Model!$C$21:$G$21,5)*(1+C$5))/($A9-C$5))/(1+$A9)^5)+Raw_Data!$F$23-Raw_Data!$F$31)/Raw_Data!$F$18</f>
        <v>133.43361741458679</v>
      </c>
      <c r="D9" s="47">
        <f>((INDEX(Forecast_Model!$C$21:$G$21,1)/(1+$A9)^1+INDEX(Forecast_Model!$C$21:$G$21,2)/(1+$A9)^2+INDEX(Forecast_Model!$C$21:$G$21,3)/(1+$A9)^3+INDEX(Forecast_Model!$C$21:$G$21,4)/(1+$A9)^4+INDEX(Forecast_Model!$C$21:$G$21,5)/(1+$A9)^5+((INDEX(Forecast_Model!$C$21:$G$21,5)*(1+D$5))/($A9-D$5))/(1+$A9)^5)+Raw_Data!$F$23-Raw_Data!$F$31)/Raw_Data!$F$18</f>
        <v>141.65450981846865</v>
      </c>
      <c r="E9" s="47">
        <f>((INDEX(Forecast_Model!$C$21:$G$21,1)/(1+$A9)^1+INDEX(Forecast_Model!$C$21:$G$21,2)/(1+$A9)^2+INDEX(Forecast_Model!$C$21:$G$21,3)/(1+$A9)^3+INDEX(Forecast_Model!$C$21:$G$21,4)/(1+$A9)^4+INDEX(Forecast_Model!$C$21:$G$21,5)/(1+$A9)^5+((INDEX(Forecast_Model!$C$21:$G$21,5)*(1+E$5))/($A9-E$5))/(1+$A9)^5)+Raw_Data!$F$23-Raw_Data!$F$31)/Raw_Data!$F$18</f>
        <v>151.24555095633087</v>
      </c>
      <c r="F9" s="47">
        <f>((INDEX(Forecast_Model!$C$21:$G$21,1)/(1+$A9)^1+INDEX(Forecast_Model!$C$21:$G$21,2)/(1+$A9)^2+INDEX(Forecast_Model!$C$21:$G$21,3)/(1+$A9)^3+INDEX(Forecast_Model!$C$21:$G$21,4)/(1+$A9)^4+INDEX(Forecast_Model!$C$21:$G$21,5)/(1+$A9)^5+((INDEX(Forecast_Model!$C$21:$G$21,5)*(1+F$5))/($A9-F$5))/(1+$A9)^5)+Raw_Data!$F$23-Raw_Data!$F$31)/Raw_Data!$F$18</f>
        <v>162.58041775562256</v>
      </c>
      <c r="G9" s="47">
        <f>((INDEX(Forecast_Model!$C$21:$G$21,1)/(1+$A9)^1+INDEX(Forecast_Model!$C$21:$G$21,2)/(1+$A9)^2+INDEX(Forecast_Model!$C$21:$G$21,3)/(1+$A9)^3+INDEX(Forecast_Model!$C$21:$G$21,4)/(1+$A9)^4+INDEX(Forecast_Model!$C$21:$G$21,5)/(1+$A9)^5+((INDEX(Forecast_Model!$C$21:$G$21,5)*(1+G$5))/($A9-G$5))/(1+$A9)^5)+Raw_Data!$F$23-Raw_Data!$F$31)/Raw_Data!$F$18</f>
        <v>176.18225791477258</v>
      </c>
    </row>
    <row r="10" spans="1:8" x14ac:dyDescent="0.2">
      <c r="A10" s="35">
        <v>9.5000000000000001E-2</v>
      </c>
      <c r="C10" s="47">
        <f>((INDEX(Forecast_Model!$C$21:$G$21,1)/(1+$A10)^1+INDEX(Forecast_Model!$C$21:$G$21,2)/(1+$A10)^2+INDEX(Forecast_Model!$C$21:$G$21,3)/(1+$A10)^3+INDEX(Forecast_Model!$C$21:$G$21,4)/(1+$A10)^4+INDEX(Forecast_Model!$C$21:$G$21,5)/(1+$A10)^5+((INDEX(Forecast_Model!$C$21:$G$21,5)*(1+C$5))/($A10-C$5))/(1+$A10)^5)+Raw_Data!$F$23-Raw_Data!$F$31)/Raw_Data!$F$18</f>
        <v>124.16745204354785</v>
      </c>
      <c r="D10" s="47">
        <f>((INDEX(Forecast_Model!$C$21:$G$21,1)/(1+$A10)^1+INDEX(Forecast_Model!$C$21:$G$21,2)/(1+$A10)^2+INDEX(Forecast_Model!$C$21:$G$21,3)/(1+$A10)^3+INDEX(Forecast_Model!$C$21:$G$21,4)/(1+$A10)^4+INDEX(Forecast_Model!$C$21:$G$21,5)/(1+$A10)^5+((INDEX(Forecast_Model!$C$21:$G$21,5)*(1+D$5))/($A10-D$5))/(1+$A10)^5)+Raw_Data!$F$23-Raw_Data!$F$31)/Raw_Data!$F$18</f>
        <v>131.162981223119</v>
      </c>
      <c r="E10" s="47">
        <f>((INDEX(Forecast_Model!$C$21:$G$21,1)/(1+$A10)^1+INDEX(Forecast_Model!$C$21:$G$21,2)/(1+$A10)^2+INDEX(Forecast_Model!$C$21:$G$21,3)/(1+$A10)^3+INDEX(Forecast_Model!$C$21:$G$21,4)/(1+$A10)^4+INDEX(Forecast_Model!$C$21:$G$21,5)/(1+$A10)^5+((INDEX(Forecast_Model!$C$21:$G$21,5)*(1+E$5))/($A10-E$5))/(1+$A10)^5)+Raw_Data!$F$23-Raw_Data!$F$31)/Raw_Data!$F$18</f>
        <v>139.23474566108581</v>
      </c>
      <c r="F10" s="47">
        <f>((INDEX(Forecast_Model!$C$21:$G$21,1)/(1+$A10)^1+INDEX(Forecast_Model!$C$21:$G$21,2)/(1+$A10)^2+INDEX(Forecast_Model!$C$21:$G$21,3)/(1+$A10)^3+INDEX(Forecast_Model!$C$21:$G$21,4)/(1+$A10)^4+INDEX(Forecast_Model!$C$21:$G$21,5)/(1+$A10)^5+((INDEX(Forecast_Model!$C$21:$G$21,5)*(1+F$5))/($A10-F$5))/(1+$A10)^5)+Raw_Data!$F$23-Raw_Data!$F$31)/Raw_Data!$F$18</f>
        <v>148.65180417204701</v>
      </c>
      <c r="G10" s="47">
        <f>((INDEX(Forecast_Model!$C$21:$G$21,1)/(1+$A10)^1+INDEX(Forecast_Model!$C$21:$G$21,2)/(1+$A10)^2+INDEX(Forecast_Model!$C$21:$G$21,3)/(1+$A10)^3+INDEX(Forecast_Model!$C$21:$G$21,4)/(1+$A10)^4+INDEX(Forecast_Model!$C$21:$G$21,5)/(1+$A10)^5+((INDEX(Forecast_Model!$C$21:$G$21,5)*(1+G$5))/($A10-G$5))/(1+$A10)^5)+Raw_Data!$F$23-Raw_Data!$F$31)/Raw_Data!$F$18</f>
        <v>159.78105513954665</v>
      </c>
    </row>
    <row r="12" spans="1:8" ht="45" customHeight="1" x14ac:dyDescent="0.2">
      <c r="A12" s="1" t="s">
        <v>194</v>
      </c>
      <c r="B12" s="1"/>
      <c r="C12" s="1"/>
      <c r="D12" s="1"/>
      <c r="E12" s="1"/>
      <c r="F12" s="1"/>
      <c r="G12" s="1"/>
      <c r="H12" s="1"/>
    </row>
    <row r="14" spans="1:8" x14ac:dyDescent="0.2">
      <c r="A14" s="44" t="s">
        <v>195</v>
      </c>
    </row>
    <row r="15" spans="1:8" x14ac:dyDescent="0.2">
      <c r="A15" s="5" t="s">
        <v>196</v>
      </c>
    </row>
    <row r="16" spans="1:8" x14ac:dyDescent="0.2">
      <c r="A16" s="5" t="s">
        <v>197</v>
      </c>
    </row>
    <row r="17" spans="1:1" x14ac:dyDescent="0.2">
      <c r="A17" s="5" t="s">
        <v>198</v>
      </c>
    </row>
  </sheetData>
  <mergeCells count="3">
    <mergeCell ref="A1:G1"/>
    <mergeCell ref="A2:H2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Raw_Data</vt:lpstr>
      <vt:lpstr>Historical_Analysis</vt:lpstr>
      <vt:lpstr>Forecast_Model</vt:lpstr>
      <vt:lpstr>WACC_Calculation</vt:lpstr>
      <vt:lpstr>DCF_Valuation</vt:lpstr>
      <vt:lpstr>Sensitivity_Analysis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Bangandozou, Prustide</cp:lastModifiedBy>
  <cp:revision>0</cp:revision>
  <dcterms:created xsi:type="dcterms:W3CDTF">2026-08-13T04:21:56Z</dcterms:created>
  <dcterms:modified xsi:type="dcterms:W3CDTF">2026-08-14T00:40:17Z</dcterms:modified>
  <dc:language>en-US</dc:language>
</cp:coreProperties>
</file>